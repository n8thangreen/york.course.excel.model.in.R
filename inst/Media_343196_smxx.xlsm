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han\Documents\R\york.course.excel.model.in.R\inst\"/>
    </mc:Choice>
  </mc:AlternateContent>
  <xr:revisionPtr revIDLastSave="0" documentId="13_ncr:1_{779055A8-2333-4BA0-9A65-D3696C45019B}" xr6:coauthVersionLast="45" xr6:coauthVersionMax="45" xr10:uidLastSave="{00000000-0000-0000-0000-000000000000}"/>
  <bookViews>
    <workbookView xWindow="20040" yWindow="3225" windowWidth="16410" windowHeight="11175" activeTab="2" xr2:uid="{00000000-000D-0000-FFFF-FFFF00000000}"/>
  </bookViews>
  <sheets>
    <sheet name="Introduction" sheetId="28" r:id="rId1"/>
    <sheet name="Parameters and Analysis" sheetId="1" r:id="rId2"/>
    <sheet name="Markov Model" sheetId="5" r:id="rId3"/>
    <sheet name="Scenario Summary" sheetId="16" r:id="rId4"/>
    <sheet name="CohortDrug" sheetId="9" r:id="rId5"/>
    <sheet name="CohortNoDrug" sheetId="8" r:id="rId6"/>
  </sheets>
  <definedNames>
    <definedName name="_nD35">'Parameters and Analysis'!$B$19</definedName>
    <definedName name="_nD45">'Parameters and Analysis'!$B$20</definedName>
    <definedName name="_nD55">'Parameters and Analysis'!$B$21</definedName>
    <definedName name="_nD65">'Parameters and Analysis'!$B$22</definedName>
    <definedName name="_nD75">'Parameters and Analysis'!$B$23</definedName>
    <definedName name="_nD85">'Parameters and Analysis'!$B$24</definedName>
    <definedName name="alpha">'Parameters and Analysis'!$N$5:$N$13</definedName>
    <definedName name="beta">'Parameters and Analysis'!$O$5:$O$13</definedName>
    <definedName name="cAsymp">'Parameters and Analysis'!$B$5</definedName>
    <definedName name="cDeath">'Parameters and Analysis'!$B$6</definedName>
    <definedName name="cDR">'Parameters and Analysis'!$B$17</definedName>
    <definedName name="cDrug">'Parameters and Analysis'!$B$7</definedName>
    <definedName name="cProg">'Parameters and Analysis'!$B$9</definedName>
    <definedName name="cycle">'Parameters and Analysis'!$B$15</definedName>
    <definedName name="effect">'Parameters and Analysis'!$B$10</definedName>
    <definedName name="ini_age">'Parameters and Analysis'!$B$16</definedName>
    <definedName name="mean">'Parameters and Analysis'!$I$5:$I$13</definedName>
    <definedName name="oDR">'Parameters and Analysis'!$B$18</definedName>
    <definedName name="se">'Parameters and Analysis'!$M$5:$M$13</definedName>
    <definedName name="tpDcm">'Parameters and Analysis'!$B$8</definedName>
    <definedName name="tpProg">'Parameters and Analysis'!$B$11</definedName>
    <definedName name="uAsymp">'Parameters and Analysis'!$B$12</definedName>
    <definedName name="uProg">'Parameters and Analysis'!$B$13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7" i="5" l="1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6" i="5"/>
  <c r="P6" i="5"/>
  <c r="C19" i="5"/>
  <c r="C5" i="5"/>
  <c r="G6" i="5" s="1"/>
  <c r="C6" i="5"/>
  <c r="Q6" i="5"/>
  <c r="AE6" i="5"/>
  <c r="C7" i="5"/>
  <c r="C8" i="5"/>
  <c r="C9" i="5"/>
  <c r="C10" i="5"/>
  <c r="C11" i="5"/>
  <c r="C12" i="5"/>
  <c r="C13" i="5"/>
  <c r="C14" i="5"/>
  <c r="C15" i="5"/>
  <c r="C16" i="5"/>
  <c r="C17" i="5"/>
  <c r="C18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D69" i="5"/>
  <c r="E69" i="5"/>
  <c r="H69" i="5"/>
  <c r="I69" i="5"/>
  <c r="I76" i="5" s="1"/>
  <c r="D70" i="5"/>
  <c r="E70" i="5"/>
  <c r="H70" i="5"/>
  <c r="I70" i="5"/>
  <c r="D71" i="5"/>
  <c r="E71" i="5"/>
  <c r="H71" i="5"/>
  <c r="I71" i="5"/>
  <c r="D72" i="5"/>
  <c r="E72" i="5"/>
  <c r="H72" i="5"/>
  <c r="I72" i="5"/>
  <c r="D73" i="5"/>
  <c r="E73" i="5"/>
  <c r="H73" i="5"/>
  <c r="I73" i="5"/>
  <c r="D74" i="5"/>
  <c r="E74" i="5"/>
  <c r="H74" i="5"/>
  <c r="I74" i="5"/>
  <c r="D75" i="5"/>
  <c r="E75" i="5"/>
  <c r="H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M5" i="1"/>
  <c r="L5" i="1" s="1"/>
  <c r="M6" i="1"/>
  <c r="L6" i="1" s="1"/>
  <c r="M7" i="1"/>
  <c r="L7" i="1" s="1"/>
  <c r="M8" i="1"/>
  <c r="N8" i="1"/>
  <c r="O8" i="1" s="1"/>
  <c r="M9" i="1"/>
  <c r="L9" i="1" s="1"/>
  <c r="M10" i="1"/>
  <c r="L10" i="1" s="1"/>
  <c r="M11" i="1"/>
  <c r="N11" i="1"/>
  <c r="O11" i="1" s="1"/>
  <c r="M12" i="1"/>
  <c r="N12" i="1"/>
  <c r="O12" i="1" s="1"/>
  <c r="M13" i="1"/>
  <c r="N13" i="1"/>
  <c r="O13" i="1" s="1"/>
  <c r="G38" i="1"/>
  <c r="G39" i="1"/>
  <c r="G40" i="1"/>
  <c r="G41" i="1"/>
  <c r="G42" i="1"/>
  <c r="G43" i="1"/>
  <c r="G44" i="1"/>
  <c r="D90" i="5" l="1"/>
  <c r="W6" i="5"/>
  <c r="F6" i="5"/>
  <c r="V6" i="5"/>
  <c r="L13" i="1"/>
  <c r="L11" i="1"/>
  <c r="L12" i="1"/>
  <c r="L8" i="1"/>
  <c r="E90" i="5"/>
  <c r="H76" i="5"/>
  <c r="E6" i="5"/>
  <c r="Q7" i="5" l="1"/>
  <c r="P7" i="5"/>
  <c r="U6" i="5"/>
  <c r="V7" i="5" s="1"/>
  <c r="F7" i="5"/>
  <c r="I6" i="5"/>
  <c r="K6" i="5"/>
  <c r="AE8" i="5"/>
  <c r="J6" i="5"/>
  <c r="L6" i="5"/>
  <c r="N6" i="5"/>
  <c r="G7" i="5"/>
  <c r="Z6" i="5"/>
  <c r="AA6" i="5"/>
  <c r="AD6" i="5"/>
  <c r="Q8" i="5" l="1"/>
  <c r="P8" i="5"/>
  <c r="Y6" i="5"/>
  <c r="W7" i="5"/>
  <c r="AB6" i="5"/>
  <c r="R6" i="5"/>
  <c r="AF6" i="5"/>
  <c r="U7" i="5"/>
  <c r="E7" i="5"/>
  <c r="Y7" i="5" l="1"/>
  <c r="AA7" i="5"/>
  <c r="AD7" i="5"/>
  <c r="Z7" i="5"/>
  <c r="AB7" i="5"/>
  <c r="V8" i="5"/>
  <c r="I7" i="5"/>
  <c r="K7" i="5"/>
  <c r="N7" i="5"/>
  <c r="L7" i="5"/>
  <c r="J7" i="5"/>
  <c r="F8" i="5"/>
  <c r="P9" i="5" s="1"/>
  <c r="W8" i="5"/>
  <c r="G8" i="5"/>
  <c r="E8" i="5" l="1"/>
  <c r="F9" i="5" s="1"/>
  <c r="P10" i="5" s="1"/>
  <c r="Q9" i="5"/>
  <c r="U8" i="5"/>
  <c r="W9" i="5" s="1"/>
  <c r="AE9" i="5"/>
  <c r="R7" i="5"/>
  <c r="AF7" i="5"/>
  <c r="G9" i="5" l="1"/>
  <c r="E9" i="5" s="1"/>
  <c r="G10" i="5" s="1"/>
  <c r="Z8" i="5"/>
  <c r="AB8" i="5"/>
  <c r="Y8" i="5"/>
  <c r="AD8" i="5"/>
  <c r="AA8" i="5"/>
  <c r="Q10" i="5"/>
  <c r="J8" i="5"/>
  <c r="L8" i="5"/>
  <c r="K8" i="5"/>
  <c r="I8" i="5"/>
  <c r="N8" i="5"/>
  <c r="V9" i="5"/>
  <c r="I9" i="5" l="1"/>
  <c r="K9" i="5"/>
  <c r="N9" i="5"/>
  <c r="R9" i="5" s="1"/>
  <c r="L9" i="5"/>
  <c r="J9" i="5"/>
  <c r="AF8" i="5"/>
  <c r="AE10" i="5"/>
  <c r="U9" i="5"/>
  <c r="V10" i="5" s="1"/>
  <c r="R8" i="5"/>
  <c r="F10" i="5"/>
  <c r="P11" i="5" s="1"/>
  <c r="AE11" i="5" l="1"/>
  <c r="E10" i="5"/>
  <c r="Q11" i="5"/>
  <c r="Y9" i="5"/>
  <c r="AA9" i="5"/>
  <c r="AD9" i="5"/>
  <c r="Z9" i="5"/>
  <c r="AB9" i="5"/>
  <c r="W10" i="5"/>
  <c r="G11" i="5"/>
  <c r="J10" i="5" l="1"/>
  <c r="L10" i="5"/>
  <c r="K10" i="5"/>
  <c r="I10" i="5"/>
  <c r="N10" i="5"/>
  <c r="AF9" i="5"/>
  <c r="F11" i="5"/>
  <c r="P12" i="5" s="1"/>
  <c r="U10" i="5"/>
  <c r="Z10" i="5" l="1"/>
  <c r="AB10" i="5"/>
  <c r="Y10" i="5"/>
  <c r="AD10" i="5"/>
  <c r="AA10" i="5"/>
  <c r="V11" i="5"/>
  <c r="Q12" i="5"/>
  <c r="E11" i="5"/>
  <c r="F12" i="5" s="1"/>
  <c r="P13" i="5" s="1"/>
  <c r="R10" i="5"/>
  <c r="W11" i="5"/>
  <c r="Q13" i="5" l="1"/>
  <c r="AE12" i="5"/>
  <c r="U11" i="5"/>
  <c r="V12" i="5" s="1"/>
  <c r="AF10" i="5"/>
  <c r="I11" i="5"/>
  <c r="K11" i="5"/>
  <c r="N11" i="5"/>
  <c r="L11" i="5"/>
  <c r="J11" i="5"/>
  <c r="G12" i="5"/>
  <c r="W12" i="5" l="1"/>
  <c r="U12" i="5" s="1"/>
  <c r="AE13" i="5"/>
  <c r="R11" i="5"/>
  <c r="Y11" i="5"/>
  <c r="AA11" i="5"/>
  <c r="AD11" i="5"/>
  <c r="AF11" i="5" s="1"/>
  <c r="Z11" i="5"/>
  <c r="AB11" i="5"/>
  <c r="E12" i="5"/>
  <c r="W13" i="5" l="1"/>
  <c r="V13" i="5"/>
  <c r="J12" i="5"/>
  <c r="L12" i="5"/>
  <c r="K12" i="5"/>
  <c r="I12" i="5"/>
  <c r="N12" i="5"/>
  <c r="R12" i="5" s="1"/>
  <c r="F13" i="5"/>
  <c r="P14" i="5" s="1"/>
  <c r="Z12" i="5"/>
  <c r="AB12" i="5"/>
  <c r="Y12" i="5"/>
  <c r="AD12" i="5"/>
  <c r="AF12" i="5" s="1"/>
  <c r="AA12" i="5"/>
  <c r="G13" i="5"/>
  <c r="U13" i="5" l="1"/>
  <c r="Z13" i="5" s="1"/>
  <c r="AE14" i="5"/>
  <c r="Q14" i="5"/>
  <c r="E13" i="5"/>
  <c r="AD13" i="5" l="1"/>
  <c r="AF13" i="5" s="1"/>
  <c r="V14" i="5"/>
  <c r="AE15" i="5" s="1"/>
  <c r="AB13" i="5"/>
  <c r="Y13" i="5"/>
  <c r="AA13" i="5"/>
  <c r="W14" i="5"/>
  <c r="I13" i="5"/>
  <c r="K13" i="5"/>
  <c r="N13" i="5"/>
  <c r="R13" i="5" s="1"/>
  <c r="L13" i="5"/>
  <c r="J13" i="5"/>
  <c r="G14" i="5"/>
  <c r="F14" i="5"/>
  <c r="P15" i="5" s="1"/>
  <c r="U14" i="5" l="1"/>
  <c r="Z14" i="5" s="1"/>
  <c r="E14" i="5"/>
  <c r="Q15" i="5"/>
  <c r="V15" i="5" l="1"/>
  <c r="AE16" i="5" s="1"/>
  <c r="AA14" i="5"/>
  <c r="W15" i="5"/>
  <c r="AD14" i="5"/>
  <c r="AF14" i="5" s="1"/>
  <c r="Y14" i="5"/>
  <c r="AB14" i="5"/>
  <c r="J14" i="5"/>
  <c r="L14" i="5"/>
  <c r="K14" i="5"/>
  <c r="I14" i="5"/>
  <c r="N14" i="5"/>
  <c r="R14" i="5" s="1"/>
  <c r="G15" i="5"/>
  <c r="F15" i="5"/>
  <c r="P16" i="5" s="1"/>
  <c r="U15" i="5" l="1"/>
  <c r="W16" i="5" s="1"/>
  <c r="Q16" i="5"/>
  <c r="E15" i="5"/>
  <c r="G16" i="5" s="1"/>
  <c r="AD15" i="5" l="1"/>
  <c r="AF15" i="5" s="1"/>
  <c r="AA15" i="5"/>
  <c r="AB15" i="5"/>
  <c r="Z15" i="5"/>
  <c r="Y15" i="5"/>
  <c r="V16" i="5"/>
  <c r="U16" i="5" s="1"/>
  <c r="I15" i="5"/>
  <c r="K15" i="5"/>
  <c r="N15" i="5"/>
  <c r="R15" i="5" s="1"/>
  <c r="L15" i="5"/>
  <c r="J15" i="5"/>
  <c r="F16" i="5"/>
  <c r="P17" i="5" s="1"/>
  <c r="AE17" i="5" l="1"/>
  <c r="V17" i="5"/>
  <c r="AE18" i="5" s="1"/>
  <c r="AD16" i="5"/>
  <c r="AF16" i="5" s="1"/>
  <c r="Z16" i="5"/>
  <c r="AA16" i="5"/>
  <c r="AB16" i="5"/>
  <c r="W17" i="5"/>
  <c r="Y16" i="5"/>
  <c r="E16" i="5"/>
  <c r="G17" i="5" s="1"/>
  <c r="Q17" i="5"/>
  <c r="U17" i="5" l="1"/>
  <c r="AA17" i="5" s="1"/>
  <c r="F17" i="5"/>
  <c r="J16" i="5"/>
  <c r="L16" i="5"/>
  <c r="K16" i="5"/>
  <c r="I16" i="5"/>
  <c r="N16" i="5"/>
  <c r="R16" i="5" s="1"/>
  <c r="E17" i="5" l="1"/>
  <c r="G18" i="5" s="1"/>
  <c r="P18" i="5"/>
  <c r="V18" i="5"/>
  <c r="W18" i="5"/>
  <c r="Z17" i="5"/>
  <c r="AB17" i="5"/>
  <c r="AD17" i="5"/>
  <c r="AF17" i="5" s="1"/>
  <c r="Y17" i="5"/>
  <c r="Q18" i="5"/>
  <c r="AE19" i="5"/>
  <c r="N17" i="5"/>
  <c r="R17" i="5" s="1"/>
  <c r="L17" i="5"/>
  <c r="F18" i="5" l="1"/>
  <c r="P19" i="5" s="1"/>
  <c r="K17" i="5"/>
  <c r="J17" i="5"/>
  <c r="I17" i="5"/>
  <c r="U18" i="5"/>
  <c r="Y18" i="5" s="1"/>
  <c r="W19" i="5"/>
  <c r="Z18" i="5"/>
  <c r="AB18" i="5"/>
  <c r="E18" i="5"/>
  <c r="G19" i="5" s="1"/>
  <c r="Q19" i="5"/>
  <c r="V19" i="5" l="1"/>
  <c r="U19" i="5" s="1"/>
  <c r="AD18" i="5"/>
  <c r="AF18" i="5" s="1"/>
  <c r="AA18" i="5"/>
  <c r="AE20" i="5"/>
  <c r="J18" i="5"/>
  <c r="L18" i="5"/>
  <c r="K18" i="5"/>
  <c r="I18" i="5"/>
  <c r="N18" i="5"/>
  <c r="R18" i="5" s="1"/>
  <c r="F19" i="5"/>
  <c r="P20" i="5" s="1"/>
  <c r="AA19" i="5" l="1"/>
  <c r="Z19" i="5"/>
  <c r="AD19" i="5"/>
  <c r="AF19" i="5" s="1"/>
  <c r="Y19" i="5"/>
  <c r="AB19" i="5"/>
  <c r="V20" i="5"/>
  <c r="W20" i="5"/>
  <c r="Q20" i="5"/>
  <c r="E19" i="5"/>
  <c r="G20" i="5" s="1"/>
  <c r="U20" i="5" l="1"/>
  <c r="W21" i="5" s="1"/>
  <c r="AE21" i="5"/>
  <c r="I19" i="5"/>
  <c r="K19" i="5"/>
  <c r="N19" i="5"/>
  <c r="R19" i="5" s="1"/>
  <c r="L19" i="5"/>
  <c r="J19" i="5"/>
  <c r="F20" i="5"/>
  <c r="P21" i="5" s="1"/>
  <c r="AB20" i="5" l="1"/>
  <c r="Y20" i="5"/>
  <c r="AD20" i="5"/>
  <c r="AF20" i="5" s="1"/>
  <c r="Z20" i="5"/>
  <c r="AA20" i="5"/>
  <c r="V21" i="5"/>
  <c r="E20" i="5"/>
  <c r="Q21" i="5"/>
  <c r="AE22" i="5" l="1"/>
  <c r="U21" i="5"/>
  <c r="V22" i="5" s="1"/>
  <c r="J20" i="5"/>
  <c r="L20" i="5"/>
  <c r="K20" i="5"/>
  <c r="I20" i="5"/>
  <c r="N20" i="5"/>
  <c r="R20" i="5" s="1"/>
  <c r="G21" i="5"/>
  <c r="F21" i="5"/>
  <c r="P22" i="5" s="1"/>
  <c r="AE23" i="5" l="1"/>
  <c r="W22" i="5"/>
  <c r="AD21" i="5"/>
  <c r="AF21" i="5" s="1"/>
  <c r="Z21" i="5"/>
  <c r="Y21" i="5"/>
  <c r="AA21" i="5"/>
  <c r="AB21" i="5"/>
  <c r="Q22" i="5"/>
  <c r="E21" i="5"/>
  <c r="F22" i="5" s="1"/>
  <c r="P23" i="5" s="1"/>
  <c r="G22" i="5" l="1"/>
  <c r="E22" i="5" s="1"/>
  <c r="U22" i="5"/>
  <c r="Q23" i="5"/>
  <c r="I21" i="5"/>
  <c r="K21" i="5"/>
  <c r="N21" i="5"/>
  <c r="R21" i="5" s="1"/>
  <c r="L21" i="5"/>
  <c r="J21" i="5"/>
  <c r="V23" i="5" l="1"/>
  <c r="Y22" i="5"/>
  <c r="AD22" i="5"/>
  <c r="AF22" i="5" s="1"/>
  <c r="Z22" i="5"/>
  <c r="AA22" i="5"/>
  <c r="AB22" i="5"/>
  <c r="W23" i="5"/>
  <c r="J22" i="5"/>
  <c r="L22" i="5"/>
  <c r="K22" i="5"/>
  <c r="I22" i="5"/>
  <c r="N22" i="5"/>
  <c r="R22" i="5" s="1"/>
  <c r="G23" i="5"/>
  <c r="F23" i="5"/>
  <c r="P24" i="5" s="1"/>
  <c r="AE24" i="5" l="1"/>
  <c r="U23" i="5"/>
  <c r="Q24" i="5"/>
  <c r="E23" i="5"/>
  <c r="V24" i="5" l="1"/>
  <c r="Y23" i="5"/>
  <c r="AB23" i="5"/>
  <c r="AA23" i="5"/>
  <c r="AD23" i="5"/>
  <c r="AF23" i="5" s="1"/>
  <c r="Z23" i="5"/>
  <c r="W24" i="5"/>
  <c r="I23" i="5"/>
  <c r="K23" i="5"/>
  <c r="N23" i="5"/>
  <c r="R23" i="5" s="1"/>
  <c r="L23" i="5"/>
  <c r="J23" i="5"/>
  <c r="G24" i="5"/>
  <c r="F24" i="5"/>
  <c r="P25" i="5" s="1"/>
  <c r="U24" i="5" l="1"/>
  <c r="V25" i="5" s="1"/>
  <c r="AE25" i="5"/>
  <c r="E24" i="5"/>
  <c r="Q25" i="5"/>
  <c r="AE26" i="5" l="1"/>
  <c r="W25" i="5"/>
  <c r="Y24" i="5"/>
  <c r="AB24" i="5"/>
  <c r="AD24" i="5"/>
  <c r="AF24" i="5" s="1"/>
  <c r="Z24" i="5"/>
  <c r="AA24" i="5"/>
  <c r="J24" i="5"/>
  <c r="L24" i="5"/>
  <c r="K24" i="5"/>
  <c r="I24" i="5"/>
  <c r="N24" i="5"/>
  <c r="R24" i="5" s="1"/>
  <c r="G25" i="5"/>
  <c r="F25" i="5"/>
  <c r="P26" i="5" s="1"/>
  <c r="U25" i="5" l="1"/>
  <c r="Q26" i="5"/>
  <c r="E25" i="5"/>
  <c r="G26" i="5" s="1"/>
  <c r="AA25" i="5" l="1"/>
  <c r="AD25" i="5"/>
  <c r="AF25" i="5" s="1"/>
  <c r="Z25" i="5"/>
  <c r="Y25" i="5"/>
  <c r="AB25" i="5"/>
  <c r="V26" i="5"/>
  <c r="W26" i="5"/>
  <c r="I25" i="5"/>
  <c r="K25" i="5"/>
  <c r="N25" i="5"/>
  <c r="R25" i="5" s="1"/>
  <c r="L25" i="5"/>
  <c r="J25" i="5"/>
  <c r="F26" i="5"/>
  <c r="P27" i="5" s="1"/>
  <c r="U26" i="5" l="1"/>
  <c r="V27" i="5" s="1"/>
  <c r="AE27" i="5"/>
  <c r="E26" i="5"/>
  <c r="Q27" i="5"/>
  <c r="AB26" i="5" l="1"/>
  <c r="Y26" i="5"/>
  <c r="Z26" i="5"/>
  <c r="AA26" i="5"/>
  <c r="AD26" i="5"/>
  <c r="AF26" i="5" s="1"/>
  <c r="AE28" i="5"/>
  <c r="W27" i="5"/>
  <c r="U27" i="5" s="1"/>
  <c r="V28" i="5" s="1"/>
  <c r="J26" i="5"/>
  <c r="L26" i="5"/>
  <c r="K26" i="5"/>
  <c r="I26" i="5"/>
  <c r="N26" i="5"/>
  <c r="R26" i="5" s="1"/>
  <c r="G27" i="5"/>
  <c r="F27" i="5"/>
  <c r="P28" i="5" s="1"/>
  <c r="W28" i="5" l="1"/>
  <c r="U28" i="5" s="1"/>
  <c r="V29" i="5" s="1"/>
  <c r="Z27" i="5"/>
  <c r="Y27" i="5"/>
  <c r="AB27" i="5"/>
  <c r="AA27" i="5"/>
  <c r="AD27" i="5"/>
  <c r="AF27" i="5" s="1"/>
  <c r="AE29" i="5"/>
  <c r="Q28" i="5"/>
  <c r="E27" i="5"/>
  <c r="Y28" i="5" l="1"/>
  <c r="AD28" i="5"/>
  <c r="AF28" i="5" s="1"/>
  <c r="Z28" i="5"/>
  <c r="AA28" i="5"/>
  <c r="AB28" i="5"/>
  <c r="AE30" i="5"/>
  <c r="W29" i="5"/>
  <c r="U29" i="5" s="1"/>
  <c r="V30" i="5" s="1"/>
  <c r="I27" i="5"/>
  <c r="K27" i="5"/>
  <c r="N27" i="5"/>
  <c r="R27" i="5" s="1"/>
  <c r="L27" i="5"/>
  <c r="J27" i="5"/>
  <c r="G28" i="5"/>
  <c r="F28" i="5"/>
  <c r="P29" i="5" s="1"/>
  <c r="AE31" i="5" l="1"/>
  <c r="W30" i="5"/>
  <c r="Z29" i="5"/>
  <c r="Y29" i="5"/>
  <c r="AB29" i="5"/>
  <c r="AA29" i="5"/>
  <c r="AD29" i="5"/>
  <c r="AF29" i="5" s="1"/>
  <c r="E28" i="5"/>
  <c r="Q29" i="5"/>
  <c r="U30" i="5" l="1"/>
  <c r="J28" i="5"/>
  <c r="L28" i="5"/>
  <c r="K28" i="5"/>
  <c r="I28" i="5"/>
  <c r="N28" i="5"/>
  <c r="R28" i="5" s="1"/>
  <c r="G29" i="5"/>
  <c r="F29" i="5"/>
  <c r="P30" i="5" s="1"/>
  <c r="Z30" i="5" l="1"/>
  <c r="AA30" i="5"/>
  <c r="AB30" i="5"/>
  <c r="Y30" i="5"/>
  <c r="AD30" i="5"/>
  <c r="AF30" i="5" s="1"/>
  <c r="V31" i="5"/>
  <c r="W31" i="5"/>
  <c r="Q30" i="5"/>
  <c r="E29" i="5"/>
  <c r="G30" i="5" s="1"/>
  <c r="U31" i="5" l="1"/>
  <c r="AE32" i="5"/>
  <c r="I29" i="5"/>
  <c r="K29" i="5"/>
  <c r="N29" i="5"/>
  <c r="R29" i="5" s="1"/>
  <c r="L29" i="5"/>
  <c r="J29" i="5"/>
  <c r="F30" i="5"/>
  <c r="P31" i="5" s="1"/>
  <c r="V32" i="5" l="1"/>
  <c r="AD31" i="5"/>
  <c r="AF31" i="5" s="1"/>
  <c r="Z31" i="5"/>
  <c r="Y31" i="5"/>
  <c r="AB31" i="5"/>
  <c r="AA31" i="5"/>
  <c r="W32" i="5"/>
  <c r="E30" i="5"/>
  <c r="F31" i="5" s="1"/>
  <c r="P32" i="5" s="1"/>
  <c r="Q31" i="5"/>
  <c r="G31" i="5" l="1"/>
  <c r="E31" i="5" s="1"/>
  <c r="F32" i="5" s="1"/>
  <c r="P33" i="5" s="1"/>
  <c r="AE33" i="5"/>
  <c r="U32" i="5"/>
  <c r="V33" i="5" s="1"/>
  <c r="Q32" i="5"/>
  <c r="J30" i="5"/>
  <c r="L30" i="5"/>
  <c r="K30" i="5"/>
  <c r="I30" i="5"/>
  <c r="N30" i="5"/>
  <c r="R30" i="5" s="1"/>
  <c r="AE34" i="5" l="1"/>
  <c r="AB32" i="5"/>
  <c r="AA32" i="5"/>
  <c r="AD32" i="5"/>
  <c r="AF32" i="5" s="1"/>
  <c r="Y32" i="5"/>
  <c r="Z32" i="5"/>
  <c r="W33" i="5"/>
  <c r="G32" i="5"/>
  <c r="E32" i="5" s="1"/>
  <c r="G33" i="5" s="1"/>
  <c r="Q33" i="5"/>
  <c r="I31" i="5"/>
  <c r="K31" i="5"/>
  <c r="N31" i="5"/>
  <c r="R31" i="5" s="1"/>
  <c r="L31" i="5"/>
  <c r="J31" i="5"/>
  <c r="U33" i="5" l="1"/>
  <c r="J32" i="5"/>
  <c r="L32" i="5"/>
  <c r="I32" i="5"/>
  <c r="K32" i="5"/>
  <c r="N32" i="5"/>
  <c r="R32" i="5" s="1"/>
  <c r="F33" i="5"/>
  <c r="P34" i="5" s="1"/>
  <c r="V34" i="5" l="1"/>
  <c r="AA33" i="5"/>
  <c r="AD33" i="5"/>
  <c r="AF33" i="5" s="1"/>
  <c r="Z33" i="5"/>
  <c r="Y33" i="5"/>
  <c r="AB33" i="5"/>
  <c r="W34" i="5"/>
  <c r="Q34" i="5"/>
  <c r="E33" i="5"/>
  <c r="U34" i="5" l="1"/>
  <c r="W35" i="5" s="1"/>
  <c r="AE35" i="5"/>
  <c r="I33" i="5"/>
  <c r="K33" i="5"/>
  <c r="N33" i="5"/>
  <c r="R33" i="5" s="1"/>
  <c r="J33" i="5"/>
  <c r="L33" i="5"/>
  <c r="G34" i="5"/>
  <c r="F34" i="5"/>
  <c r="P35" i="5" s="1"/>
  <c r="V35" i="5" l="1"/>
  <c r="AE36" i="5" s="1"/>
  <c r="Y34" i="5"/>
  <c r="Z34" i="5"/>
  <c r="AD34" i="5"/>
  <c r="AF34" i="5" s="1"/>
  <c r="AB34" i="5"/>
  <c r="AA34" i="5"/>
  <c r="E34" i="5"/>
  <c r="Q35" i="5"/>
  <c r="U35" i="5" l="1"/>
  <c r="W36" i="5" s="1"/>
  <c r="J34" i="5"/>
  <c r="L34" i="5"/>
  <c r="I34" i="5"/>
  <c r="K34" i="5"/>
  <c r="N34" i="5"/>
  <c r="R34" i="5" s="1"/>
  <c r="G35" i="5"/>
  <c r="F35" i="5"/>
  <c r="P36" i="5" s="1"/>
  <c r="Z35" i="5" l="1"/>
  <c r="Y35" i="5"/>
  <c r="AB35" i="5"/>
  <c r="AD35" i="5"/>
  <c r="AF35" i="5" s="1"/>
  <c r="AA35" i="5"/>
  <c r="V36" i="5"/>
  <c r="AE37" i="5" s="1"/>
  <c r="Q36" i="5"/>
  <c r="E35" i="5"/>
  <c r="F36" i="5" s="1"/>
  <c r="P37" i="5" s="1"/>
  <c r="U36" i="5" l="1"/>
  <c r="W37" i="5" s="1"/>
  <c r="G36" i="5"/>
  <c r="Q37" i="5"/>
  <c r="I35" i="5"/>
  <c r="K35" i="5"/>
  <c r="N35" i="5"/>
  <c r="R35" i="5" s="1"/>
  <c r="J35" i="5"/>
  <c r="L35" i="5"/>
  <c r="V37" i="5" l="1"/>
  <c r="AE38" i="5" s="1"/>
  <c r="AA36" i="5"/>
  <c r="Y36" i="5"/>
  <c r="AB36" i="5"/>
  <c r="AD36" i="5"/>
  <c r="AF36" i="5" s="1"/>
  <c r="Z36" i="5"/>
  <c r="E36" i="5"/>
  <c r="F37" i="5" s="1"/>
  <c r="Q38" i="5" l="1"/>
  <c r="P38" i="5"/>
  <c r="U37" i="5"/>
  <c r="W38" i="5" s="1"/>
  <c r="N36" i="5"/>
  <c r="R36" i="5" s="1"/>
  <c r="I36" i="5"/>
  <c r="L36" i="5"/>
  <c r="V38" i="5"/>
  <c r="K36" i="5"/>
  <c r="J36" i="5"/>
  <c r="G37" i="5"/>
  <c r="Y37" i="5" l="1"/>
  <c r="AD37" i="5"/>
  <c r="AF37" i="5" s="1"/>
  <c r="AA37" i="5"/>
  <c r="AB37" i="5"/>
  <c r="Z37" i="5"/>
  <c r="AE39" i="5"/>
  <c r="U38" i="5"/>
  <c r="V39" i="5" s="1"/>
  <c r="E37" i="5"/>
  <c r="W39" i="5" l="1"/>
  <c r="U39" i="5" s="1"/>
  <c r="AE40" i="5"/>
  <c r="AA38" i="5"/>
  <c r="AD38" i="5"/>
  <c r="AF38" i="5" s="1"/>
  <c r="Y38" i="5"/>
  <c r="AB38" i="5"/>
  <c r="Z38" i="5"/>
  <c r="F38" i="5"/>
  <c r="P39" i="5" s="1"/>
  <c r="I37" i="5"/>
  <c r="L37" i="5"/>
  <c r="K37" i="5"/>
  <c r="N37" i="5"/>
  <c r="R37" i="5" s="1"/>
  <c r="J37" i="5"/>
  <c r="G38" i="5"/>
  <c r="V40" i="5" l="1"/>
  <c r="Z39" i="5"/>
  <c r="AA39" i="5"/>
  <c r="AB39" i="5"/>
  <c r="AD39" i="5"/>
  <c r="AF39" i="5" s="1"/>
  <c r="Y39" i="5"/>
  <c r="W40" i="5"/>
  <c r="Q39" i="5"/>
  <c r="E38" i="5"/>
  <c r="AE41" i="5" l="1"/>
  <c r="U40" i="5"/>
  <c r="V41" i="5" s="1"/>
  <c r="L38" i="5"/>
  <c r="N38" i="5"/>
  <c r="R38" i="5" s="1"/>
  <c r="I38" i="5"/>
  <c r="J38" i="5"/>
  <c r="K38" i="5"/>
  <c r="G39" i="5"/>
  <c r="F39" i="5"/>
  <c r="P40" i="5" s="1"/>
  <c r="AE42" i="5" l="1"/>
  <c r="AA40" i="5"/>
  <c r="AB40" i="5"/>
  <c r="AD40" i="5"/>
  <c r="AF40" i="5" s="1"/>
  <c r="Y40" i="5"/>
  <c r="Z40" i="5"/>
  <c r="W41" i="5"/>
  <c r="U41" i="5" s="1"/>
  <c r="Q40" i="5"/>
  <c r="E39" i="5"/>
  <c r="F40" i="5" s="1"/>
  <c r="P41" i="5" s="1"/>
  <c r="AB41" i="5" l="1"/>
  <c r="AA41" i="5"/>
  <c r="AD41" i="5"/>
  <c r="AF41" i="5" s="1"/>
  <c r="Y41" i="5"/>
  <c r="Z41" i="5"/>
  <c r="V42" i="5"/>
  <c r="W42" i="5"/>
  <c r="Q41" i="5"/>
  <c r="J39" i="5"/>
  <c r="K39" i="5"/>
  <c r="I39" i="5"/>
  <c r="L39" i="5"/>
  <c r="N39" i="5"/>
  <c r="R39" i="5" s="1"/>
  <c r="G40" i="5"/>
  <c r="AE43" i="5" l="1"/>
  <c r="U42" i="5"/>
  <c r="V43" i="5" s="1"/>
  <c r="E40" i="5"/>
  <c r="AE44" i="5" l="1"/>
  <c r="AD42" i="5"/>
  <c r="AF42" i="5" s="1"/>
  <c r="AA42" i="5"/>
  <c r="Y42" i="5"/>
  <c r="AB42" i="5"/>
  <c r="Z42" i="5"/>
  <c r="W43" i="5"/>
  <c r="U43" i="5" s="1"/>
  <c r="J40" i="5"/>
  <c r="K40" i="5"/>
  <c r="N40" i="5"/>
  <c r="R40" i="5" s="1"/>
  <c r="L40" i="5"/>
  <c r="I40" i="5"/>
  <c r="F41" i="5"/>
  <c r="P42" i="5" s="1"/>
  <c r="G41" i="5"/>
  <c r="AD43" i="5" l="1"/>
  <c r="AF43" i="5" s="1"/>
  <c r="AB43" i="5"/>
  <c r="Y43" i="5"/>
  <c r="AA43" i="5"/>
  <c r="Z43" i="5"/>
  <c r="V44" i="5"/>
  <c r="W44" i="5"/>
  <c r="E41" i="5"/>
  <c r="Q42" i="5"/>
  <c r="AE45" i="5" l="1"/>
  <c r="U44" i="5"/>
  <c r="V45" i="5" s="1"/>
  <c r="F42" i="5"/>
  <c r="P43" i="5" s="1"/>
  <c r="J41" i="5"/>
  <c r="N41" i="5"/>
  <c r="R41" i="5" s="1"/>
  <c r="I41" i="5"/>
  <c r="L41" i="5"/>
  <c r="K41" i="5"/>
  <c r="G42" i="5"/>
  <c r="AE46" i="5" l="1"/>
  <c r="W45" i="5"/>
  <c r="AB44" i="5"/>
  <c r="AA44" i="5"/>
  <c r="Y44" i="5"/>
  <c r="Z44" i="5"/>
  <c r="AD44" i="5"/>
  <c r="AF44" i="5" s="1"/>
  <c r="Q43" i="5"/>
  <c r="E42" i="5"/>
  <c r="G43" i="5" s="1"/>
  <c r="U45" i="5" l="1"/>
  <c r="F43" i="5"/>
  <c r="P44" i="5" s="1"/>
  <c r="J42" i="5"/>
  <c r="K42" i="5"/>
  <c r="L42" i="5"/>
  <c r="I42" i="5"/>
  <c r="N42" i="5"/>
  <c r="R42" i="5" s="1"/>
  <c r="V46" i="5" l="1"/>
  <c r="AD45" i="5"/>
  <c r="AF45" i="5" s="1"/>
  <c r="Y45" i="5"/>
  <c r="AA45" i="5"/>
  <c r="Z45" i="5"/>
  <c r="AB45" i="5"/>
  <c r="W46" i="5"/>
  <c r="Q44" i="5"/>
  <c r="E43" i="5"/>
  <c r="G44" i="5" s="1"/>
  <c r="U46" i="5" l="1"/>
  <c r="W47" i="5" s="1"/>
  <c r="AE47" i="5"/>
  <c r="F44" i="5"/>
  <c r="P45" i="5" s="1"/>
  <c r="I43" i="5"/>
  <c r="L43" i="5"/>
  <c r="K43" i="5"/>
  <c r="J43" i="5"/>
  <c r="N43" i="5"/>
  <c r="R43" i="5" s="1"/>
  <c r="V47" i="5" l="1"/>
  <c r="AE48" i="5" s="1"/>
  <c r="AA46" i="5"/>
  <c r="Y46" i="5"/>
  <c r="Z46" i="5"/>
  <c r="AB46" i="5"/>
  <c r="AD46" i="5"/>
  <c r="AF46" i="5" s="1"/>
  <c r="Q45" i="5"/>
  <c r="E44" i="5"/>
  <c r="F45" i="5" s="1"/>
  <c r="P46" i="5" s="1"/>
  <c r="U47" i="5" l="1"/>
  <c r="V48" i="5" s="1"/>
  <c r="AE49" i="5" s="1"/>
  <c r="Q46" i="5"/>
  <c r="L44" i="5"/>
  <c r="I44" i="5"/>
  <c r="J44" i="5"/>
  <c r="N44" i="5"/>
  <c r="R44" i="5" s="1"/>
  <c r="K44" i="5"/>
  <c r="G45" i="5"/>
  <c r="AB47" i="5" l="1"/>
  <c r="Y47" i="5"/>
  <c r="AD47" i="5"/>
  <c r="AF47" i="5" s="1"/>
  <c r="AA47" i="5"/>
  <c r="Z47" i="5"/>
  <c r="W48" i="5"/>
  <c r="U48" i="5" s="1"/>
  <c r="E45" i="5"/>
  <c r="G46" i="5" s="1"/>
  <c r="V49" i="5" l="1"/>
  <c r="AD48" i="5"/>
  <c r="AF48" i="5" s="1"/>
  <c r="AA48" i="5"/>
  <c r="AB48" i="5"/>
  <c r="Y48" i="5"/>
  <c r="Z48" i="5"/>
  <c r="W49" i="5"/>
  <c r="K45" i="5"/>
  <c r="N45" i="5"/>
  <c r="R45" i="5" s="1"/>
  <c r="J45" i="5"/>
  <c r="I45" i="5"/>
  <c r="L45" i="5"/>
  <c r="F46" i="5"/>
  <c r="P47" i="5" s="1"/>
  <c r="AE50" i="5" l="1"/>
  <c r="AE52" i="5" s="1"/>
  <c r="AE53" i="5" s="1"/>
  <c r="U49" i="5"/>
  <c r="V50" i="5" s="1"/>
  <c r="E46" i="5"/>
  <c r="F47" i="5" s="1"/>
  <c r="P48" i="5" s="1"/>
  <c r="Q47" i="5"/>
  <c r="G47" i="5" l="1"/>
  <c r="E47" i="5" s="1"/>
  <c r="G48" i="5" s="1"/>
  <c r="AD49" i="5"/>
  <c r="AB49" i="5"/>
  <c r="Y49" i="5"/>
  <c r="Z49" i="5"/>
  <c r="AA49" i="5"/>
  <c r="W50" i="5"/>
  <c r="U50" i="5" s="1"/>
  <c r="Q48" i="5"/>
  <c r="I46" i="5"/>
  <c r="J46" i="5"/>
  <c r="N46" i="5"/>
  <c r="R46" i="5" s="1"/>
  <c r="K46" i="5"/>
  <c r="L46" i="5"/>
  <c r="Z50" i="5" l="1"/>
  <c r="Z52" i="5" s="1"/>
  <c r="Z53" i="5" s="1"/>
  <c r="AB50" i="5"/>
  <c r="AB52" i="5" s="1"/>
  <c r="AB53" i="5" s="1"/>
  <c r="C61" i="5" s="1"/>
  <c r="B32" i="1" s="1"/>
  <c r="AD50" i="5"/>
  <c r="AF50" i="5" s="1"/>
  <c r="Y50" i="5"/>
  <c r="Y52" i="5" s="1"/>
  <c r="Y53" i="5" s="1"/>
  <c r="AA50" i="5"/>
  <c r="AA52" i="5" s="1"/>
  <c r="AA53" i="5" s="1"/>
  <c r="AF49" i="5"/>
  <c r="N47" i="5"/>
  <c r="R47" i="5" s="1"/>
  <c r="J47" i="5"/>
  <c r="K47" i="5"/>
  <c r="I47" i="5"/>
  <c r="L47" i="5"/>
  <c r="F48" i="5"/>
  <c r="P49" i="5" s="1"/>
  <c r="AD52" i="5" l="1"/>
  <c r="AD53" i="5" s="1"/>
  <c r="AF52" i="5"/>
  <c r="AF53" i="5" s="1"/>
  <c r="B61" i="5" s="1"/>
  <c r="C32" i="1" s="1"/>
  <c r="Q49" i="5"/>
  <c r="E48" i="5"/>
  <c r="F49" i="5" s="1"/>
  <c r="P50" i="5" s="1"/>
  <c r="Q50" i="5" l="1"/>
  <c r="Q52" i="5" s="1"/>
  <c r="Q53" i="5" s="1"/>
  <c r="G49" i="5"/>
  <c r="J48" i="5"/>
  <c r="K48" i="5"/>
  <c r="L48" i="5"/>
  <c r="I48" i="5"/>
  <c r="N48" i="5"/>
  <c r="R48" i="5" l="1"/>
  <c r="E49" i="5"/>
  <c r="F50" i="5" l="1"/>
  <c r="J49" i="5"/>
  <c r="I49" i="5"/>
  <c r="L49" i="5"/>
  <c r="K49" i="5"/>
  <c r="N49" i="5"/>
  <c r="G50" i="5"/>
  <c r="E50" i="5" l="1"/>
  <c r="R49" i="5"/>
  <c r="N50" i="5" l="1"/>
  <c r="I50" i="5"/>
  <c r="I52" i="5" s="1"/>
  <c r="I53" i="5" s="1"/>
  <c r="J50" i="5"/>
  <c r="J52" i="5" s="1"/>
  <c r="J53" i="5" s="1"/>
  <c r="K50" i="5"/>
  <c r="K52" i="5" s="1"/>
  <c r="K53" i="5" s="1"/>
  <c r="L50" i="5"/>
  <c r="L52" i="5" s="1"/>
  <c r="L53" i="5" s="1"/>
  <c r="C60" i="5" s="1"/>
  <c r="B31" i="1" l="1"/>
  <c r="C62" i="5"/>
  <c r="B33" i="1" s="1"/>
  <c r="R50" i="5"/>
  <c r="R52" i="5" s="1"/>
  <c r="R53" i="5" s="1"/>
  <c r="B60" i="5" s="1"/>
  <c r="N52" i="5"/>
  <c r="N53" i="5" s="1"/>
  <c r="B62" i="5" l="1"/>
  <c r="C31" i="1"/>
  <c r="C33" i="1" l="1"/>
  <c r="B63" i="5"/>
  <c r="D3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Briggs</author>
  </authors>
  <commentList>
    <comment ref="I4" authorId="0" shapeId="0" xr:uid="{00000000-0006-0000-0100-000001000000}">
      <text>
        <r>
          <rPr>
            <b/>
            <sz val="10"/>
            <color indexed="81"/>
            <rFont val="Tahoma"/>
            <family val="2"/>
          </rPr>
          <t>These are the original values that are restored at the end of the macro</t>
        </r>
      </text>
    </comment>
    <comment ref="J4" authorId="0" shapeId="0" xr:uid="{00000000-0006-0000-0100-000002000000}">
      <text>
        <r>
          <rPr>
            <b/>
            <sz val="10"/>
            <color indexed="81"/>
            <rFont val="Tahoma"/>
            <family val="2"/>
          </rPr>
          <t>The lower limit of the 95% confidence interval for each parameter</t>
        </r>
      </text>
    </comment>
    <comment ref="K4" authorId="0" shapeId="0" xr:uid="{00000000-0006-0000-0100-000003000000}">
      <text>
        <r>
          <rPr>
            <b/>
            <sz val="10"/>
            <color indexed="81"/>
            <rFont val="Tahoma"/>
            <family val="2"/>
          </rPr>
          <t>The upper limit of the 95% confidence interval for each parameter</t>
        </r>
      </text>
    </comment>
    <comment ref="L4" authorId="0" shapeId="0" xr:uid="{00000000-0006-0000-0100-000004000000}">
      <text>
        <r>
          <rPr>
            <b/>
            <sz val="10"/>
            <color indexed="81"/>
            <rFont val="Tahoma"/>
            <family val="2"/>
          </rPr>
          <t>Random draws from either the Normal or Beta distributed parameters</t>
        </r>
      </text>
    </comment>
    <comment ref="M4" authorId="0" shapeId="0" xr:uid="{00000000-0006-0000-0100-000005000000}">
      <text>
        <r>
          <rPr>
            <b/>
            <sz val="10"/>
            <color indexed="81"/>
            <rFont val="Tahoma"/>
            <family val="2"/>
          </rPr>
          <t>Estimated standard deviation form the 95% confidence interval</t>
        </r>
      </text>
    </comment>
    <comment ref="N4" authorId="0" shapeId="0" xr:uid="{00000000-0006-0000-0100-000006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  <comment ref="O4" authorId="0" shapeId="0" xr:uid="{00000000-0006-0000-0100-000007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</commentList>
</comments>
</file>

<file path=xl/sharedStrings.xml><?xml version="1.0" encoding="utf-8"?>
<sst xmlns="http://schemas.openxmlformats.org/spreadsheetml/2006/main" count="179" uniqueCount="135">
  <si>
    <t>Value</t>
  </si>
  <si>
    <t>Variable description</t>
  </si>
  <si>
    <t>Name</t>
  </si>
  <si>
    <t>Summary of variables in the model</t>
  </si>
  <si>
    <t>cAsymp</t>
  </si>
  <si>
    <t>Cost of one cycle in the asymptomatic disease state</t>
  </si>
  <si>
    <t>cDeath</t>
  </si>
  <si>
    <t>Cost associated with transition to the dead state</t>
  </si>
  <si>
    <t>cDR</t>
  </si>
  <si>
    <t>Discount rate for costs</t>
  </si>
  <si>
    <t>cDrug</t>
  </si>
  <si>
    <t>Cost of drug for one cycle</t>
  </si>
  <si>
    <t>cmDeath</t>
  </si>
  <si>
    <t>Probability of dying from the disease in a single cycle</t>
  </si>
  <si>
    <t>cProg</t>
  </si>
  <si>
    <t>Cost of one cycle in the progressive disease state</t>
  </si>
  <si>
    <t>cycle</t>
  </si>
  <si>
    <t>Length in years of one cycle</t>
  </si>
  <si>
    <t>eff</t>
  </si>
  <si>
    <t>Effectiveness of drug in terms of reducing disease progression</t>
  </si>
  <si>
    <t>ini_age</t>
  </si>
  <si>
    <t>oDR</t>
  </si>
  <si>
    <t>Discount rate for outcomes</t>
  </si>
  <si>
    <t>prog</t>
  </si>
  <si>
    <t>uAsymp</t>
  </si>
  <si>
    <t>Quality of life weight for one cycle in the asymptomatic disease state</t>
  </si>
  <si>
    <t>uProg</t>
  </si>
  <si>
    <t>Quality of life weight for one cycle in the progressive disease state</t>
  </si>
  <si>
    <t>The initial age at which patients are deeemed to start the model</t>
  </si>
  <si>
    <t>Strategy</t>
  </si>
  <si>
    <t>Cost</t>
  </si>
  <si>
    <t>Eff</t>
  </si>
  <si>
    <t>mean</t>
  </si>
  <si>
    <t>Cycle</t>
  </si>
  <si>
    <t>Prog</t>
  </si>
  <si>
    <t>Death</t>
  </si>
  <si>
    <t>Asymp</t>
  </si>
  <si>
    <t>nDeath</t>
  </si>
  <si>
    <t>nD35</t>
  </si>
  <si>
    <t>nD45</t>
  </si>
  <si>
    <t>nD55</t>
  </si>
  <si>
    <t>nD65</t>
  </si>
  <si>
    <t>nD75</t>
  </si>
  <si>
    <t>nD85</t>
  </si>
  <si>
    <t>LE</t>
  </si>
  <si>
    <t>QALYs</t>
  </si>
  <si>
    <t>LYs</t>
  </si>
  <si>
    <t>QALE</t>
  </si>
  <si>
    <t>StateCost</t>
  </si>
  <si>
    <t>TransCost</t>
  </si>
  <si>
    <t>TotalCost</t>
  </si>
  <si>
    <t>Total</t>
  </si>
  <si>
    <t>per patient</t>
  </si>
  <si>
    <t>No drug</t>
  </si>
  <si>
    <t xml:space="preserve">Drug </t>
  </si>
  <si>
    <t>ICER</t>
  </si>
  <si>
    <t>diffence</t>
  </si>
  <si>
    <t>Restore</t>
  </si>
  <si>
    <t>Stochastic</t>
  </si>
  <si>
    <t>Coefficent of increase for probability of entering the progressive disease state</t>
  </si>
  <si>
    <t>low</t>
  </si>
  <si>
    <t>high</t>
  </si>
  <si>
    <t>Analysis</t>
  </si>
  <si>
    <t>difference</t>
  </si>
  <si>
    <t>cAsympLow</t>
  </si>
  <si>
    <t>Created by Andrew Briggs on 05/03/98
Modified by Andrew Briggs on 05/03/98</t>
  </si>
  <si>
    <t>cAsympHigh</t>
  </si>
  <si>
    <t>Created by Andrew Briggs on 05/03/98</t>
  </si>
  <si>
    <t>cDeathLow</t>
  </si>
  <si>
    <t>cDeathHigh</t>
  </si>
  <si>
    <t>cDrugLow</t>
  </si>
  <si>
    <t>cDrugHigh</t>
  </si>
  <si>
    <t>cmDeathLow</t>
  </si>
  <si>
    <t>cmDeathHigh</t>
  </si>
  <si>
    <t>cProgLow</t>
  </si>
  <si>
    <t>cProgHigh</t>
  </si>
  <si>
    <t>effLow</t>
  </si>
  <si>
    <t>effHigh</t>
  </si>
  <si>
    <t>progLow</t>
  </si>
  <si>
    <t>progHigh</t>
  </si>
  <si>
    <t>uAsympLow</t>
  </si>
  <si>
    <t>uAsympHigh</t>
  </si>
  <si>
    <t>uProgLow</t>
  </si>
  <si>
    <t>uProgHigh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</si>
  <si>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</si>
  <si>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</si>
  <si>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</si>
  <si>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</si>
  <si>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</si>
  <si>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</si>
  <si>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</si>
  <si>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costdiff</t>
  </si>
  <si>
    <t>effectdiff</t>
  </si>
  <si>
    <t>worst-case</t>
  </si>
  <si>
    <t>best-case</t>
  </si>
  <si>
    <t>stdev</t>
  </si>
  <si>
    <t>median</t>
  </si>
  <si>
    <t>min</t>
  </si>
  <si>
    <t>max</t>
  </si>
  <si>
    <t>Markov Model</t>
  </si>
  <si>
    <t>effect</t>
  </si>
  <si>
    <t>tpProg</t>
  </si>
  <si>
    <t>Natural death risk for over 35's (from standard life-tables)</t>
  </si>
  <si>
    <t>Natural death risk for over 45's (from standard life-tables)</t>
  </si>
  <si>
    <t>Natural death risk for over 55's (from standard life-tables)</t>
  </si>
  <si>
    <t>Natural death risk for over 65's (from standard life-tables)</t>
  </si>
  <si>
    <t>Natural death risk for over 75's (from standard life-tables)</t>
  </si>
  <si>
    <t>Natural death risk for over 85's (from standard life-tables)</t>
  </si>
  <si>
    <t>tpDcm</t>
  </si>
  <si>
    <t>for Cost-Effectiveness Modelling of</t>
  </si>
  <si>
    <t>Health Care Interventions</t>
  </si>
  <si>
    <t>Andrew Briggs</t>
  </si>
  <si>
    <t>Health Economics Research Centre</t>
  </si>
  <si>
    <t>University of Oxford</t>
  </si>
  <si>
    <r>
      <t xml:space="preserve">Briggs A, Sculpher M.  Introducing Markov models for economic evaluation. </t>
    </r>
    <r>
      <rPr>
        <i/>
        <sz val="10"/>
        <rFont val="Arial"/>
        <family val="2"/>
      </rPr>
      <t/>
    </r>
  </si>
  <si>
    <r>
      <t>PharmacoEconomics</t>
    </r>
    <r>
      <rPr>
        <sz val="10"/>
        <rFont val="Arial"/>
      </rPr>
      <t xml:space="preserve"> 1998; </t>
    </r>
    <r>
      <rPr>
        <b/>
        <sz val="10"/>
        <rFont val="Arial"/>
        <family val="2"/>
      </rPr>
      <t>13</t>
    </r>
    <r>
      <rPr>
        <sz val="10"/>
        <rFont val="Arial"/>
      </rPr>
      <t>(4): 397-409.</t>
    </r>
  </si>
  <si>
    <r>
      <t xml:space="preserve">Briggs AH.  Handling uncertainty in cost-effectiveness models.  </t>
    </r>
    <r>
      <rPr>
        <i/>
        <sz val="10"/>
        <rFont val="Arial"/>
        <family val="2"/>
      </rPr>
      <t/>
    </r>
  </si>
  <si>
    <r>
      <t xml:space="preserve">PharmacoEconomics </t>
    </r>
    <r>
      <rPr>
        <sz val="10"/>
        <rFont val="Arial"/>
      </rPr>
      <t>2000 (forthcoming).</t>
    </r>
  </si>
  <si>
    <t xml:space="preserve">The model outlined is the spreadsheet was used to illustrate the principles </t>
  </si>
  <si>
    <t>of Markov modelling and probabilistic sensitivity analysis in the following two papers:</t>
  </si>
  <si>
    <t>The model is made available for non-commercial teaching purposes only.</t>
  </si>
  <si>
    <t>I would be grateful if you could let me have any feedback concerning the use</t>
  </si>
  <si>
    <t>andrew.briggs@ihs.ox.ac.uk</t>
  </si>
  <si>
    <t>est. sd.</t>
  </si>
  <si>
    <t>alpha</t>
  </si>
  <si>
    <t>beta</t>
  </si>
  <si>
    <t>Probabilistic Sensitivity Analysis results</t>
  </si>
  <si>
    <t>Trial</t>
  </si>
  <si>
    <t>inc.Effect</t>
  </si>
  <si>
    <t>inc.Cost</t>
  </si>
  <si>
    <t xml:space="preserve">Note that none of these parameters are </t>
  </si>
  <si>
    <t>included in the probabilisitic analysis</t>
  </si>
  <si>
    <t>Press to run 1,000 simulation trials (recorded from A38 below)</t>
  </si>
  <si>
    <t>of this model (including errors, suggestions, issues of clarity etc.) by email:</t>
  </si>
  <si>
    <t>Markov Modelling and Probabilistic Sensitivity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</si>
</sst>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&quot;£&quot;* #,##0_-;\-&quot;£&quot;* #,##0_-;_-&quot;£&quot;* &quot;-&quot;??_-;_-@_-"/>
    <numFmt numFmtId="165" formatCode="0.000"/>
    <numFmt numFmtId="166" formatCode="0.0000"/>
    <numFmt numFmtId="167" formatCode="0.00000"/>
    <numFmt numFmtId="168" formatCode="&quot;£&quot;#,##0"/>
    <numFmt numFmtId="169" formatCode="0.0%"/>
    <numFmt numFmtId="170" formatCode="_-* #,##0.000_-;\-* #,##0.000_-;_-* &quot;-&quot;??_-;_-@_-"/>
  </numFmts>
  <fonts count="15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i/>
      <sz val="10"/>
      <name val="Arial"/>
      <family val="2"/>
    </font>
    <font>
      <b/>
      <sz val="11"/>
      <color indexed="9"/>
      <name val="Arial"/>
    </font>
    <font>
      <b/>
      <sz val="10"/>
      <color indexed="8"/>
      <name val="Arial"/>
    </font>
    <font>
      <b/>
      <sz val="10"/>
      <color indexed="18"/>
      <name val="Arial"/>
    </font>
    <font>
      <sz val="9"/>
      <color indexed="9"/>
      <name val="Arial"/>
    </font>
    <font>
      <sz val="8"/>
      <name val="Arial"/>
      <family val="2"/>
    </font>
    <font>
      <sz val="12"/>
      <name val="Arial"/>
      <family val="2"/>
    </font>
    <font>
      <u/>
      <sz val="10"/>
      <color indexed="12"/>
      <name val="Arial"/>
    </font>
    <font>
      <sz val="10"/>
      <name val="Arial"/>
      <family val="2"/>
    </font>
    <font>
      <b/>
      <sz val="10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2" fillId="0" borderId="0" xfId="0" applyFont="1"/>
    <xf numFmtId="0" fontId="3" fillId="0" borderId="0" xfId="0" applyFont="1"/>
    <xf numFmtId="9" fontId="0" fillId="0" borderId="0" xfId="0" applyNumberFormat="1"/>
    <xf numFmtId="0" fontId="4" fillId="0" borderId="0" xfId="0" applyFont="1"/>
    <xf numFmtId="164" fontId="0" fillId="0" borderId="0" xfId="2" applyNumberFormat="1" applyFont="1"/>
    <xf numFmtId="1" fontId="0" fillId="0" borderId="0" xfId="0" applyNumberFormat="1"/>
    <xf numFmtId="43" fontId="0" fillId="0" borderId="0" xfId="1" applyFont="1"/>
    <xf numFmtId="2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0" fontId="6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0" fillId="0" borderId="3" xfId="0" applyFill="1" applyBorder="1" applyAlignment="1"/>
    <xf numFmtId="0" fontId="7" fillId="3" borderId="0" xfId="0" applyFont="1" applyFill="1" applyBorder="1" applyAlignment="1">
      <alignment horizontal="left"/>
    </xf>
    <xf numFmtId="0" fontId="8" fillId="3" borderId="3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left"/>
    </xf>
    <xf numFmtId="0" fontId="9" fillId="2" borderId="2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0" fillId="4" borderId="0" xfId="0" applyFill="1" applyBorder="1" applyAlignment="1"/>
    <xf numFmtId="9" fontId="0" fillId="4" borderId="0" xfId="0" applyNumberFormat="1" applyFill="1" applyBorder="1" applyAlignment="1"/>
    <xf numFmtId="0" fontId="10" fillId="0" borderId="0" xfId="0" applyFont="1" applyFill="1" applyBorder="1" applyAlignment="1">
      <alignment vertical="top" wrapText="1"/>
    </xf>
    <xf numFmtId="164" fontId="0" fillId="0" borderId="0" xfId="0" applyNumberFormat="1" applyFill="1" applyBorder="1" applyAlignment="1"/>
    <xf numFmtId="43" fontId="0" fillId="0" borderId="0" xfId="0" applyNumberFormat="1" applyFill="1" applyBorder="1" applyAlignment="1"/>
    <xf numFmtId="164" fontId="0" fillId="0" borderId="4" xfId="0" applyNumberFormat="1" applyFill="1" applyBorder="1" applyAlignment="1"/>
    <xf numFmtId="0" fontId="2" fillId="0" borderId="0" xfId="0" applyFont="1" applyAlignment="1">
      <alignment horizontal="right"/>
    </xf>
    <xf numFmtId="168" fontId="0" fillId="0" borderId="0" xfId="0" applyNumberFormat="1"/>
    <xf numFmtId="168" fontId="5" fillId="0" borderId="0" xfId="0" applyNumberFormat="1" applyFont="1"/>
    <xf numFmtId="10" fontId="0" fillId="0" borderId="0" xfId="0" applyNumberFormat="1"/>
    <xf numFmtId="166" fontId="0" fillId="0" borderId="0" xfId="0" applyNumberFormat="1"/>
    <xf numFmtId="169" fontId="0" fillId="0" borderId="0" xfId="4" applyNumberFormat="1" applyFont="1"/>
    <xf numFmtId="170" fontId="0" fillId="0" borderId="0" xfId="1" applyNumberFormat="1" applyFont="1"/>
    <xf numFmtId="167" fontId="0" fillId="0" borderId="0" xfId="0" applyNumberFormat="1"/>
    <xf numFmtId="43" fontId="0" fillId="0" borderId="0" xfId="1" applyFont="1" applyBorder="1"/>
    <xf numFmtId="168" fontId="0" fillId="0" borderId="0" xfId="0" applyNumberFormat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12" fillId="0" borderId="0" xfId="3" applyAlignment="1" applyProtection="1">
      <alignment horizontal="center"/>
    </xf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Model'!$U$5:$U$50</c:f>
              <c:numCache>
                <c:formatCode>0</c:formatCode>
                <c:ptCount val="46"/>
                <c:pt idx="0">
                  <c:v>1000</c:v>
                </c:pt>
                <c:pt idx="1">
                  <c:v>981.2</c:v>
                </c:pt>
                <c:pt idx="2">
                  <c:v>957.84744000000001</c:v>
                </c:pt>
                <c:pt idx="3">
                  <c:v>930.26143372800004</c:v>
                </c:pt>
                <c:pt idx="4">
                  <c:v>898.8185972679936</c:v>
                </c:pt>
                <c:pt idx="5">
                  <c:v>863.94443569399539</c:v>
                </c:pt>
                <c:pt idx="6">
                  <c:v>826.1036694105984</c:v>
                </c:pt>
                <c:pt idx="7">
                  <c:v>785.7898103433613</c:v>
                </c:pt>
                <c:pt idx="8">
                  <c:v>743.51431854688838</c:v>
                </c:pt>
                <c:pt idx="9">
                  <c:v>699.79567661633132</c:v>
                </c:pt>
                <c:pt idx="10">
                  <c:v>655.14871244820938</c:v>
                </c:pt>
                <c:pt idx="11">
                  <c:v>594.28539706177082</c:v>
                </c:pt>
                <c:pt idx="12">
                  <c:v>536.10485668942351</c:v>
                </c:pt>
                <c:pt idx="13">
                  <c:v>480.93966693608189</c:v>
                </c:pt>
                <c:pt idx="14">
                  <c:v>429.04627687367855</c:v>
                </c:pt>
                <c:pt idx="15">
                  <c:v>380.60695221464027</c:v>
                </c:pt>
                <c:pt idx="16">
                  <c:v>335.7333925485342</c:v>
                </c:pt>
                <c:pt idx="17">
                  <c:v>294.47175860431946</c:v>
                </c:pt>
                <c:pt idx="18">
                  <c:v>256.80882067882692</c:v>
                </c:pt>
                <c:pt idx="19">
                  <c:v>222.67892841061087</c:v>
                </c:pt>
                <c:pt idx="20">
                  <c:v>191.97150418278773</c:v>
                </c:pt>
                <c:pt idx="21">
                  <c:v>154.30669506212473</c:v>
                </c:pt>
                <c:pt idx="22">
                  <c:v>123.26018801562532</c:v>
                </c:pt>
                <c:pt idx="23">
                  <c:v>97.843937246803421</c:v>
                </c:pt>
                <c:pt idx="24">
                  <c:v>77.179297700278426</c:v>
                </c:pt>
                <c:pt idx="25">
                  <c:v>60.493133537478229</c:v>
                </c:pt>
                <c:pt idx="26">
                  <c:v>47.112052398988112</c:v>
                </c:pt>
                <c:pt idx="27">
                  <c:v>36.455306146336966</c:v>
                </c:pt>
                <c:pt idx="28">
                  <c:v>28.026839365303886</c:v>
                </c:pt>
                <c:pt idx="29">
                  <c:v>21.406899907219099</c:v>
                </c:pt>
                <c:pt idx="30">
                  <c:v>16.243555649597852</c:v>
                </c:pt>
                <c:pt idx="31">
                  <c:v>10.545316327718979</c:v>
                </c:pt>
                <c:pt idx="32">
                  <c:v>6.7932927783165269</c:v>
                </c:pt>
                <c:pt idx="33">
                  <c:v>4.3422727438999118</c:v>
                </c:pt>
                <c:pt idx="34">
                  <c:v>2.7538693741813631</c:v>
                </c:pt>
                <c:pt idx="35">
                  <c:v>1.7327346102348429</c:v>
                </c:pt>
                <c:pt idx="36">
                  <c:v>1.0815729437085793</c:v>
                </c:pt>
                <c:pt idx="37">
                  <c:v>0.66970996674433536</c:v>
                </c:pt>
                <c:pt idx="38">
                  <c:v>0.41133586157445734</c:v>
                </c:pt>
                <c:pt idx="39">
                  <c:v>0.25058580687118592</c:v>
                </c:pt>
                <c:pt idx="40">
                  <c:v>0.15140394451157135</c:v>
                </c:pt>
                <c:pt idx="41">
                  <c:v>9.0721243551229236E-2</c:v>
                </c:pt>
                <c:pt idx="42">
                  <c:v>5.3906562918200507E-2</c:v>
                </c:pt>
                <c:pt idx="43">
                  <c:v>3.1761746871325158E-2</c:v>
                </c:pt>
                <c:pt idx="44">
                  <c:v>1.855521252230119E-2</c:v>
                </c:pt>
                <c:pt idx="45">
                  <c:v>1.0747179092959414E-2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9-4671-B045-758B50699D84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Model'!$V$5:$V$50</c:f>
              <c:numCache>
                <c:formatCode>0</c:formatCode>
                <c:ptCount val="46"/>
                <c:pt idx="0">
                  <c:v>0</c:v>
                </c:pt>
                <c:pt idx="1">
                  <c:v>5</c:v>
                </c:pt>
                <c:pt idx="2">
                  <c:v>13.993000000000002</c:v>
                </c:pt>
                <c:pt idx="3">
                  <c:v>26.068658200000002</c:v>
                </c:pt>
                <c:pt idx="4">
                  <c:v>40.403840661400004</c:v>
                </c:pt>
                <c:pt idx="5">
                  <c:v>56.256156492762528</c:v>
                </c:pt>
                <c:pt idx="6">
                  <c:v>72.959731130067894</c:v>
                </c:pt>
                <c:pt idx="7">
                  <c:v>89.922555600333709</c:v>
                </c:pt>
                <c:pt idx="8">
                  <c:v>106.62483340673349</c:v>
                </c:pt>
                <c:pt idx="9">
                  <c:v>122.61783002932052</c:v>
                </c:pt>
                <c:pt idx="10">
                  <c:v>137.52281330133437</c:v>
                </c:pt>
                <c:pt idx="11">
                  <c:v>147.71545586666514</c:v>
                </c:pt>
                <c:pt idx="12">
                  <c:v>155.61684553302499</c:v>
                </c:pt>
                <c:pt idx="13">
                  <c:v>161.22325594218211</c:v>
                </c:pt>
                <c:pt idx="14">
                  <c:v>164.59518283617183</c:v>
                </c:pt>
                <c:pt idx="15">
                  <c:v>165.84621874678103</c:v>
                </c:pt>
                <c:pt idx="16">
                  <c:v>165.13227042143208</c:v>
                </c:pt>
                <c:pt idx="17">
                  <c:v>162.64125517587041</c:v>
                </c:pt>
                <c:pt idx="18">
                  <c:v>158.58342160271309</c:v>
                </c:pt>
                <c:pt idx="19">
                  <c:v>153.18243464805184</c:v>
                </c:pt>
                <c:pt idx="20">
                  <c:v>146.66734801874395</c:v>
                </c:pt>
                <c:pt idx="21">
                  <c:v>131.4481916158156</c:v>
                </c:pt>
                <c:pt idx="22">
                  <c:v>116.71662425491459</c:v>
                </c:pt>
                <c:pt idx="23">
                  <c:v>102.73949610642609</c:v>
                </c:pt>
                <c:pt idx="24">
                  <c:v>89.700002115172509</c:v>
                </c:pt>
                <c:pt idx="25">
                  <c:v>77.7117738175277</c:v>
                </c:pt>
                <c:pt idx="26">
                  <c:v>66.831801332612187</c:v>
                </c:pt>
                <c:pt idx="27">
                  <c:v>57.072097925049519</c:v>
                </c:pt>
                <c:pt idx="28">
                  <c:v>48.410050766014741</c:v>
                </c:pt>
                <c:pt idx="29">
                  <c:v>40.797438229221044</c:v>
                </c:pt>
                <c:pt idx="30">
                  <c:v>34.168131114415786</c:v>
                </c:pt>
                <c:pt idx="31">
                  <c:v>24.870542500738473</c:v>
                </c:pt>
                <c:pt idx="32">
                  <c:v>17.957559516418147</c:v>
                </c:pt>
                <c:pt idx="33">
                  <c:v>12.868728744062979</c:v>
                </c:pt>
                <c:pt idx="34">
                  <c:v>9.1569087108289864</c:v>
                </c:pt>
                <c:pt idx="35">
                  <c:v>6.4723768191060618</c:v>
                </c:pt>
                <c:pt idx="36">
                  <c:v>4.5461211449014574</c:v>
                </c:pt>
                <c:pt idx="37">
                  <c:v>3.1741634475806206</c:v>
                </c:pt>
                <c:pt idx="38">
                  <c:v>2.2037826210886657</c:v>
                </c:pt>
                <c:pt idx="39">
                  <c:v>1.5219250837232243</c:v>
                </c:pt>
                <c:pt idx="40">
                  <c:v>1.0457605511459707</c:v>
                </c:pt>
                <c:pt idx="41">
                  <c:v>0.71517436118456612</c:v>
                </c:pt>
                <c:pt idx="42">
                  <c:v>0.48691852823270126</c:v>
                </c:pt>
                <c:pt idx="43">
                  <c:v>0.33013201219724631</c:v>
                </c:pt>
                <c:pt idx="44">
                  <c:v>0.22295994669113006</c:v>
                </c:pt>
                <c:pt idx="45">
                  <c:v>0.15003531994285507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9-4671-B045-758B50699D84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Model'!$W$5:$W$50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28.159559999999999</c:v>
                </c:pt>
                <c:pt idx="3">
                  <c:v>43.669908071999998</c:v>
                </c:pt>
                <c:pt idx="4">
                  <c:v>60.7775620706064</c:v>
                </c:pt>
                <c:pt idx="5">
                  <c:v>79.799407813242027</c:v>
                </c:pt>
                <c:pt idx="6">
                  <c:v>100.93659945933368</c:v>
                </c:pt>
                <c:pt idx="7">
                  <c:v>124.28763405630505</c:v>
                </c:pt>
                <c:pt idx="8">
                  <c:v>149.86084804637809</c:v>
                </c:pt>
                <c:pt idx="9">
                  <c:v>177.58649335434808</c:v>
                </c:pt>
                <c:pt idx="10">
                  <c:v>207.32847425045617</c:v>
                </c:pt>
                <c:pt idx="11">
                  <c:v>257.99914707156404</c:v>
                </c:pt>
                <c:pt idx="12">
                  <c:v>308.27829777755153</c:v>
                </c:pt>
                <c:pt idx="13">
                  <c:v>357.83707712173606</c:v>
                </c:pt>
                <c:pt idx="14">
                  <c:v>406.35854029014962</c:v>
                </c:pt>
                <c:pt idx="15">
                  <c:v>453.54682903857872</c:v>
                </c:pt>
                <c:pt idx="16">
                  <c:v>499.13433703003375</c:v>
                </c:pt>
                <c:pt idx="17">
                  <c:v>542.88698621981018</c:v>
                </c:pt>
                <c:pt idx="18">
                  <c:v>584.60775771845999</c:v>
                </c:pt>
                <c:pt idx="19">
                  <c:v>624.13863694133727</c:v>
                </c:pt>
                <c:pt idx="20">
                  <c:v>661.36114779846832</c:v>
                </c:pt>
                <c:pt idx="21">
                  <c:v>714.24511332205964</c:v>
                </c:pt>
                <c:pt idx="22">
                  <c:v>760.02318772946012</c:v>
                </c:pt>
                <c:pt idx="23">
                  <c:v>799.41656664677055</c:v>
                </c:pt>
                <c:pt idx="24">
                  <c:v>833.12070018454904</c:v>
                </c:pt>
                <c:pt idx="25">
                  <c:v>861.79509264499404</c:v>
                </c:pt>
                <c:pt idx="26">
                  <c:v>886.05614626839974</c:v>
                </c:pt>
                <c:pt idx="27">
                  <c:v>906.47259592861349</c:v>
                </c:pt>
                <c:pt idx="28">
                  <c:v>923.56310986868141</c:v>
                </c:pt>
                <c:pt idx="29">
                  <c:v>937.79566186355987</c:v>
                </c:pt>
                <c:pt idx="30">
                  <c:v>949.58831323598633</c:v>
                </c:pt>
                <c:pt idx="31">
                  <c:v>964.58414117154257</c:v>
                </c:pt>
                <c:pt idx="32">
                  <c:v>975.24914770526527</c:v>
                </c:pt>
                <c:pt idx="33">
                  <c:v>982.7889985120371</c:v>
                </c:pt>
                <c:pt idx="34">
                  <c:v>988.08922191498971</c:v>
                </c:pt>
                <c:pt idx="35">
                  <c:v>991.79488857065905</c:v>
                </c:pt>
                <c:pt idx="36">
                  <c:v>994.37230591138996</c:v>
                </c:pt>
                <c:pt idx="37">
                  <c:v>996.156126585675</c:v>
                </c:pt>
                <c:pt idx="38">
                  <c:v>997.38488151733691</c:v>
                </c:pt>
                <c:pt idx="39">
                  <c:v>998.22748910940561</c:v>
                </c:pt>
                <c:pt idx="40">
                  <c:v>998.80283550434251</c:v>
                </c:pt>
                <c:pt idx="41">
                  <c:v>999.19410439526416</c:v>
                </c:pt>
                <c:pt idx="42">
                  <c:v>999.45917490884915</c:v>
                </c:pt>
                <c:pt idx="43">
                  <c:v>999.63810624093139</c:v>
                </c:pt>
                <c:pt idx="44">
                  <c:v>999.75848484078654</c:v>
                </c:pt>
                <c:pt idx="45">
                  <c:v>999.8392175009642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C9-4671-B045-758B50699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6464"/>
        <c:axId val="63888768"/>
      </c:areaChart>
      <c:catAx>
        <c:axId val="6388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87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3888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6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Model'!$E$5:$E$50</c:f>
              <c:numCache>
                <c:formatCode>0</c:formatCode>
                <c:ptCount val="46"/>
                <c:pt idx="0">
                  <c:v>1000</c:v>
                </c:pt>
                <c:pt idx="1">
                  <c:v>976.2</c:v>
                </c:pt>
                <c:pt idx="2">
                  <c:v>943.20443999999998</c:v>
                </c:pt>
                <c:pt idx="3">
                  <c:v>901.89208552800005</c:v>
                </c:pt>
                <c:pt idx="4">
                  <c:v>853.37029132659359</c:v>
                </c:pt>
                <c:pt idx="5">
                  <c:v>798.9252667399569</c:v>
                </c:pt>
                <c:pt idx="6">
                  <c:v>739.96458205454815</c:v>
                </c:pt>
                <c:pt idx="7">
                  <c:v>677.95555007837697</c:v>
                </c:pt>
                <c:pt idx="8">
                  <c:v>614.3633194810252</c:v>
                </c:pt>
                <c:pt idx="9">
                  <c:v>550.59240691889477</c:v>
                </c:pt>
                <c:pt idx="10">
                  <c:v>487.93499101152457</c:v>
                </c:pt>
                <c:pt idx="11">
                  <c:v>415.76940584092011</c:v>
                </c:pt>
                <c:pt idx="12">
                  <c:v>350.1194166586389</c:v>
                </c:pt>
                <c:pt idx="13">
                  <c:v>291.33436660165336</c:v>
                </c:pt>
                <c:pt idx="14">
                  <c:v>239.50598278321922</c:v>
                </c:pt>
                <c:pt idx="15">
                  <c:v>194.50280861825229</c:v>
                </c:pt>
                <c:pt idx="16">
                  <c:v>156.01070279270016</c:v>
                </c:pt>
                <c:pt idx="17">
                  <c:v>123.57607768209789</c:v>
                </c:pt>
                <c:pt idx="18">
                  <c:v>96.648850355168747</c:v>
                </c:pt>
                <c:pt idx="19">
                  <c:v>74.622577359225716</c:v>
                </c:pt>
                <c:pt idx="20">
                  <c:v>56.869866205465883</c:v>
                </c:pt>
                <c:pt idx="21">
                  <c:v>39.740662504379657</c:v>
                </c:pt>
                <c:pt idx="22">
                  <c:v>27.373368333016742</c:v>
                </c:pt>
                <c:pt idx="23">
                  <c:v>18.581042424451766</c:v>
                </c:pt>
                <c:pt idx="24">
                  <c:v>12.427001173473286</c:v>
                </c:pt>
                <c:pt idx="25">
                  <c:v>8.1869083730840657</c:v>
                </c:pt>
                <c:pt idx="26">
                  <c:v>5.3116661524569508</c:v>
                </c:pt>
                <c:pt idx="27">
                  <c:v>3.39309233818949</c:v>
                </c:pt>
                <c:pt idx="28">
                  <c:v>2.1335764622534725</c:v>
                </c:pt>
                <c:pt idx="29">
                  <c:v>1.320257114842434</c:v>
                </c:pt>
                <c:pt idx="30">
                  <c:v>0.8037725315160742</c:v>
                </c:pt>
                <c:pt idx="31">
                  <c:v>0.39722438507533298</c:v>
                </c:pt>
                <c:pt idx="32">
                  <c:v>0.1923360472535478</c:v>
                </c:pt>
                <c:pt idx="33">
                  <c:v>9.1205753607596307E-2</c:v>
                </c:pt>
                <c:pt idx="34">
                  <c:v>4.2337710824654096E-2</c:v>
                </c:pt>
                <c:pt idx="35">
                  <c:v>1.9229788256552638E-2</c:v>
                </c:pt>
                <c:pt idx="36">
                  <c:v>8.5418719436347601E-3</c:v>
                </c:pt>
                <c:pt idx="37">
                  <c:v>3.7088807978307159E-3</c:v>
                </c:pt>
                <c:pt idx="38">
                  <c:v>1.5733072344801258E-3</c:v>
                </c:pt>
                <c:pt idx="39">
                  <c:v>6.5166385650172742E-4</c:v>
                </c:pt>
                <c:pt idx="40">
                  <c:v>2.6340253077705711E-4</c:v>
                </c:pt>
                <c:pt idx="41">
                  <c:v>1.0383327753515914E-4</c:v>
                </c:pt>
                <c:pt idx="42">
                  <c:v>3.9892745235192706E-5</c:v>
                </c:pt>
                <c:pt idx="43">
                  <c:v>1.4927865208846924E-5</c:v>
                </c:pt>
                <c:pt idx="44">
                  <c:v>5.4367285429179901E-6</c:v>
                </c:pt>
                <c:pt idx="45">
                  <c:v>1.9256892755947774E-6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E4-4957-9CAB-F0A6686EFD80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Model'!$F$5:$F$50</c:f>
              <c:numCache>
                <c:formatCode>0</c:formatCode>
                <c:ptCount val="46"/>
                <c:pt idx="0">
                  <c:v>0</c:v>
                </c:pt>
                <c:pt idx="1">
                  <c:v>10</c:v>
                </c:pt>
                <c:pt idx="2">
                  <c:v>27.886000000000003</c:v>
                </c:pt>
                <c:pt idx="3">
                  <c:v>51.6144064</c:v>
                </c:pt>
                <c:pt idx="4">
                  <c:v>79.235650052799997</c:v>
                </c:pt>
                <c:pt idx="5">
                  <c:v>108.92536514048103</c:v>
                </c:pt>
                <c:pt idx="6">
                  <c:v>139.01890633486767</c:v>
                </c:pt>
                <c:pt idx="7">
                  <c:v>168.0451302210347</c:v>
                </c:pt>
                <c:pt idx="8">
                  <c:v>194.75578189709938</c:v>
                </c:pt>
                <c:pt idx="9">
                  <c:v>218.14748357564676</c:v>
                </c:pt>
                <c:pt idx="10">
                  <c:v>237.47416645784529</c:v>
                </c:pt>
                <c:pt idx="11">
                  <c:v>246.52561959168384</c:v>
                </c:pt>
                <c:pt idx="12">
                  <c:v>250.09578437131682</c:v>
                </c:pt>
                <c:pt idx="13">
                  <c:v>248.61831065356944</c:v>
                </c:pt>
                <c:pt idx="14">
                  <c:v>242.68974140599519</c:v>
                </c:pt>
                <c:pt idx="15">
                  <c:v>233.01423641329154</c:v>
                </c:pt>
                <c:pt idx="16">
                  <c:v>220.35131077015441</c:v>
                </c:pt>
                <c:pt idx="17">
                  <c:v>205.46911895120144</c:v>
                </c:pt>
                <c:pt idx="18">
                  <c:v>189.1051654830483</c:v>
                </c:pt>
                <c:pt idx="19">
                  <c:v>171.93558645626558</c:v>
                </c:pt>
                <c:pt idx="20">
                  <c:v>154.55340523297843</c:v>
                </c:pt>
                <c:pt idx="21">
                  <c:v>129.21779579393186</c:v>
                </c:pt>
                <c:pt idx="22">
                  <c:v>106.79340919939901</c:v>
                </c:pt>
                <c:pt idx="23">
                  <c:v>87.330713617097814</c:v>
                </c:pt>
                <c:pt idx="24">
                  <c:v>70.725995674522238</c:v>
                </c:pt>
                <c:pt idx="25">
                  <c:v>56.773635811195788</c:v>
                </c:pt>
                <c:pt idx="26">
                  <c:v>45.20843103053722</c:v>
                </c:pt>
                <c:pt idx="27">
                  <c:v>35.738307327135018</c:v>
                </c:pt>
                <c:pt idx="28">
                  <c:v>28.068293454523108</c:v>
                </c:pt>
                <c:pt idx="29">
                  <c:v>21.91695824734564</c:v>
                </c:pt>
                <c:pt idx="30">
                  <c:v>17.026665052538601</c:v>
                </c:pt>
                <c:pt idx="31">
                  <c:v>11.388013762140735</c:v>
                </c:pt>
                <c:pt idx="32">
                  <c:v>7.5771504064165764</c:v>
                </c:pt>
                <c:pt idx="33">
                  <c:v>5.0204426914713949</c:v>
                </c:pt>
                <c:pt idx="34">
                  <c:v>3.3153835649871692</c:v>
                </c:pt>
                <c:pt idx="35">
                  <c:v>2.1837421270032351</c:v>
                </c:pt>
                <c:pt idx="36">
                  <c:v>1.4355268232578755</c:v>
                </c:pt>
                <c:pt idx="37">
                  <c:v>0.94228214039444702</c:v>
                </c:pt>
                <c:pt idx="38">
                  <c:v>0.61785035094922292</c:v>
                </c:pt>
                <c:pt idx="39">
                  <c:v>0.40481128941242889</c:v>
                </c:pt>
                <c:pt idx="40">
                  <c:v>0.26508821107621167</c:v>
                </c:pt>
                <c:pt idx="41">
                  <c:v>0.17352870272367626</c:v>
                </c:pt>
                <c:pt idx="42">
                  <c:v>0.11356608729839379</c:v>
                </c:pt>
                <c:pt idx="43">
                  <c:v>7.431208819106036E-2</c:v>
                </c:pt>
                <c:pt idx="44">
                  <c:v>4.862153635528358E-2</c:v>
                </c:pt>
                <c:pt idx="45">
                  <c:v>3.1810655611470832E-2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E4-4957-9CAB-F0A6686EFD80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Model'!$G$5:$G$50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28.909559999999999</c:v>
                </c:pt>
                <c:pt idx="3">
                  <c:v>46.493508071999997</c:v>
                </c:pt>
                <c:pt idx="4">
                  <c:v>67.394058620606401</c:v>
                </c:pt>
                <c:pt idx="5">
                  <c:v>92.149368119562041</c:v>
                </c:pt>
                <c:pt idx="6">
                  <c:v>121.01651161058423</c:v>
                </c:pt>
                <c:pt idx="7">
                  <c:v>153.99931970058833</c:v>
                </c:pt>
                <c:pt idx="8">
                  <c:v>190.88089862187542</c:v>
                </c:pt>
                <c:pt idx="9">
                  <c:v>231.26010950545844</c:v>
                </c:pt>
                <c:pt idx="10">
                  <c:v>274.59084253063014</c:v>
                </c:pt>
                <c:pt idx="11">
                  <c:v>337.70497456739605</c:v>
                </c:pt>
                <c:pt idx="12">
                  <c:v>399.78479897004433</c:v>
                </c:pt>
                <c:pt idx="13">
                  <c:v>460.0473227447772</c:v>
                </c:pt>
                <c:pt idx="14">
                  <c:v>517.80427581078561</c:v>
                </c:pt>
                <c:pt idx="15">
                  <c:v>572.48295496845617</c:v>
                </c:pt>
                <c:pt idx="16">
                  <c:v>623.6379864371454</c:v>
                </c:pt>
                <c:pt idx="17">
                  <c:v>670.95480336670073</c:v>
                </c:pt>
                <c:pt idx="18">
                  <c:v>714.24598416178299</c:v>
                </c:pt>
                <c:pt idx="19">
                  <c:v>753.4418361845087</c:v>
                </c:pt>
                <c:pt idx="20">
                  <c:v>788.57672856155568</c:v>
                </c:pt>
                <c:pt idx="21">
                  <c:v>831.04154170168852</c:v>
                </c:pt>
                <c:pt idx="22">
                  <c:v>865.83322246758428</c:v>
                </c:pt>
                <c:pt idx="23">
                  <c:v>894.08824395845045</c:v>
                </c:pt>
                <c:pt idx="24">
                  <c:v>916.8470031520045</c:v>
                </c:pt>
                <c:pt idx="25">
                  <c:v>935.03945581572009</c:v>
                </c:pt>
                <c:pt idx="26">
                  <c:v>949.47990281700584</c:v>
                </c:pt>
                <c:pt idx="27">
                  <c:v>960.86860033467553</c:v>
                </c:pt>
                <c:pt idx="28">
                  <c:v>969.79813008322344</c:v>
                </c:pt>
                <c:pt idx="29">
                  <c:v>976.76278463781193</c:v>
                </c:pt>
                <c:pt idx="30">
                  <c:v>982.16956241594528</c:v>
                </c:pt>
                <c:pt idx="31">
                  <c:v>988.21476185278391</c:v>
                </c:pt>
                <c:pt idx="32">
                  <c:v>992.23051354632992</c:v>
                </c:pt>
                <c:pt idx="33">
                  <c:v>994.88835155492097</c:v>
                </c:pt>
                <c:pt idx="34">
                  <c:v>996.64227872418815</c:v>
                </c:pt>
                <c:pt idx="35">
                  <c:v>997.79702808474019</c:v>
                </c:pt>
                <c:pt idx="36">
                  <c:v>998.55593130479849</c:v>
                </c:pt>
                <c:pt idx="37">
                  <c:v>999.0540089788077</c:v>
                </c:pt>
                <c:pt idx="38">
                  <c:v>999.38057634181632</c:v>
                </c:pt>
                <c:pt idx="39">
                  <c:v>999.59453704673103</c:v>
                </c:pt>
                <c:pt idx="40">
                  <c:v>999.73464838639302</c:v>
                </c:pt>
                <c:pt idx="41">
                  <c:v>999.82636746399874</c:v>
                </c:pt>
                <c:pt idx="42">
                  <c:v>999.88639401995636</c:v>
                </c:pt>
                <c:pt idx="43">
                  <c:v>999.92567298394374</c:v>
                </c:pt>
                <c:pt idx="44">
                  <c:v>999.95137302691614</c:v>
                </c:pt>
                <c:pt idx="45">
                  <c:v>999.96818741869924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E4-4957-9CAB-F0A6686EF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8944"/>
        <c:axId val="53140864"/>
      </c:areaChart>
      <c:catAx>
        <c:axId val="53138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408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31408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8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2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3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14</xdr:row>
      <xdr:rowOff>123825</xdr:rowOff>
    </xdr:from>
    <xdr:to>
      <xdr:col>7</xdr:col>
      <xdr:colOff>581025</xdr:colOff>
      <xdr:row>23</xdr:row>
      <xdr:rowOff>57150</xdr:rowOff>
    </xdr:to>
    <xdr:sp macro="" textlink="">
      <xdr:nvSpPr>
        <xdr:cNvPr id="1037" name="AutoShape 13">
          <a:extLst>
            <a:ext uri="{FF2B5EF4-FFF2-40B4-BE49-F238E27FC236}">
              <a16:creationId xmlns:a16="http://schemas.microsoft.com/office/drawing/2014/main" id="{00000000-0008-0000-0100-00000D040000}"/>
            </a:ext>
          </a:extLst>
        </xdr:cNvPr>
        <xdr:cNvSpPr>
          <a:spLocks/>
        </xdr:cNvSpPr>
      </xdr:nvSpPr>
      <xdr:spPr bwMode="auto">
        <a:xfrm>
          <a:off x="4781550" y="2428875"/>
          <a:ext cx="152400" cy="1428750"/>
        </a:xfrm>
        <a:prstGeom prst="rightBrace">
          <a:avLst>
            <a:gd name="adj1" fmla="val 7812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190500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Probabilistic Sensitivity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0.41975</cdr:x>
      <cdr:y>0.5395</cdr:y>
    </cdr:from>
    <cdr:to>
      <cdr:x>0.4715</cdr:x>
      <cdr:y>0.5835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66181" y="3031855"/>
          <a:ext cx="476652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819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0.3545</cdr:x>
      <cdr:y>0.52275</cdr:y>
    </cdr:from>
    <cdr:to>
      <cdr:x>0.40625</cdr:x>
      <cdr:y>0.56675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65184" y="2937724"/>
          <a:ext cx="476653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717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drew.briggs@ihs.ox.ac.uk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E26"/>
  <sheetViews>
    <sheetView workbookViewId="0">
      <selection activeCell="B13" sqref="B13"/>
    </sheetView>
  </sheetViews>
  <sheetFormatPr defaultRowHeight="12.75" x14ac:dyDescent="0.2"/>
  <sheetData>
    <row r="2" spans="2:5" ht="15.75" x14ac:dyDescent="0.25">
      <c r="E2" s="37" t="s">
        <v>134</v>
      </c>
    </row>
    <row r="3" spans="2:5" ht="15.75" x14ac:dyDescent="0.25">
      <c r="E3" s="37" t="s">
        <v>109</v>
      </c>
    </row>
    <row r="4" spans="2:5" ht="15.75" x14ac:dyDescent="0.25">
      <c r="E4" s="37" t="s">
        <v>110</v>
      </c>
    </row>
    <row r="5" spans="2:5" x14ac:dyDescent="0.2">
      <c r="E5" s="38"/>
    </row>
    <row r="6" spans="2:5" ht="15" x14ac:dyDescent="0.2">
      <c r="E6" s="39" t="s">
        <v>111</v>
      </c>
    </row>
    <row r="8" spans="2:5" x14ac:dyDescent="0.2">
      <c r="E8" s="40" t="s">
        <v>112</v>
      </c>
    </row>
    <row r="9" spans="2:5" x14ac:dyDescent="0.2">
      <c r="E9" s="40" t="s">
        <v>113</v>
      </c>
    </row>
    <row r="12" spans="2:5" x14ac:dyDescent="0.2">
      <c r="B12" t="s">
        <v>118</v>
      </c>
    </row>
    <row r="13" spans="2:5" x14ac:dyDescent="0.2">
      <c r="B13" t="s">
        <v>119</v>
      </c>
    </row>
    <row r="15" spans="2:5" x14ac:dyDescent="0.2">
      <c r="B15" t="s">
        <v>114</v>
      </c>
    </row>
    <row r="16" spans="2:5" x14ac:dyDescent="0.2">
      <c r="B16" s="41" t="s">
        <v>115</v>
      </c>
    </row>
    <row r="18" spans="2:5" x14ac:dyDescent="0.2">
      <c r="B18" t="s">
        <v>116</v>
      </c>
    </row>
    <row r="19" spans="2:5" x14ac:dyDescent="0.2">
      <c r="B19" s="41" t="s">
        <v>117</v>
      </c>
    </row>
    <row r="21" spans="2:5" x14ac:dyDescent="0.2">
      <c r="B21" t="s">
        <v>120</v>
      </c>
    </row>
    <row r="23" spans="2:5" x14ac:dyDescent="0.2">
      <c r="B23" t="s">
        <v>121</v>
      </c>
    </row>
    <row r="24" spans="2:5" x14ac:dyDescent="0.2">
      <c r="B24" t="s">
        <v>133</v>
      </c>
    </row>
    <row r="26" spans="2:5" x14ac:dyDescent="0.2">
      <c r="E26" s="42" t="s">
        <v>122</v>
      </c>
    </row>
  </sheetData>
  <phoneticPr fontId="0" type="noConversion"/>
  <hyperlinks>
    <hyperlink ref="E26" r:id="rId1" xr:uid="{00000000-0004-0000-0000-000000000000}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O1037"/>
  <sheetViews>
    <sheetView zoomScaleNormal="100" workbookViewId="0">
      <selection activeCell="O25" sqref="O25"/>
    </sheetView>
  </sheetViews>
  <sheetFormatPr defaultRowHeight="12.75" x14ac:dyDescent="0.2"/>
  <cols>
    <col min="7" max="7" width="10.42578125" bestFit="1" customWidth="1"/>
    <col min="9" max="9" width="12.28515625" bestFit="1" customWidth="1"/>
    <col min="13" max="13" width="11.7109375" customWidth="1"/>
    <col min="16" max="16" width="10.5703125" customWidth="1"/>
    <col min="17" max="17" width="10.42578125" customWidth="1"/>
  </cols>
  <sheetData>
    <row r="1" spans="1:15" s="2" customFormat="1" ht="15.75" x14ac:dyDescent="0.25">
      <c r="A1" s="2" t="s">
        <v>3</v>
      </c>
      <c r="K1" s="9"/>
      <c r="L1"/>
    </row>
    <row r="2" spans="1:15" x14ac:dyDescent="0.2">
      <c r="I2" s="41" t="s">
        <v>132</v>
      </c>
      <c r="K2" s="9"/>
    </row>
    <row r="3" spans="1:15" s="1" customFormat="1" x14ac:dyDescent="0.2">
      <c r="A3" s="1" t="s">
        <v>2</v>
      </c>
      <c r="B3" s="1" t="s">
        <v>0</v>
      </c>
      <c r="C3" s="1" t="s">
        <v>1</v>
      </c>
    </row>
    <row r="4" spans="1:15" x14ac:dyDescent="0.2">
      <c r="I4" s="1" t="s">
        <v>57</v>
      </c>
      <c r="J4" s="1" t="s">
        <v>60</v>
      </c>
      <c r="K4" s="1" t="s">
        <v>61</v>
      </c>
      <c r="L4" s="1" t="s">
        <v>58</v>
      </c>
      <c r="M4" s="27" t="s">
        <v>123</v>
      </c>
      <c r="N4" s="27" t="s">
        <v>124</v>
      </c>
      <c r="O4" s="27" t="s">
        <v>125</v>
      </c>
    </row>
    <row r="5" spans="1:15" x14ac:dyDescent="0.2">
      <c r="A5" t="s">
        <v>4</v>
      </c>
      <c r="B5">
        <v>500</v>
      </c>
      <c r="C5" s="41" t="s">
        <v>5</v>
      </c>
      <c r="I5">
        <v>500</v>
      </c>
      <c r="J5">
        <v>250</v>
      </c>
      <c r="K5">
        <v>750</v>
      </c>
      <c r="L5" s="6">
        <f ca="1">NORMINV(RAND(),mean,se)</f>
        <v>219.78997572972696</v>
      </c>
      <c r="M5" s="8">
        <f>(K5-J5)/(2*NORMINV(0.975,0,1))</f>
        <v>127.55336423116351</v>
      </c>
    </row>
    <row r="6" spans="1:15" x14ac:dyDescent="0.2">
      <c r="A6" t="s">
        <v>6</v>
      </c>
      <c r="B6">
        <v>1000</v>
      </c>
      <c r="C6" s="41" t="s">
        <v>7</v>
      </c>
      <c r="I6">
        <v>1000</v>
      </c>
      <c r="J6">
        <v>500</v>
      </c>
      <c r="K6">
        <v>1500</v>
      </c>
      <c r="L6" s="6">
        <f ca="1">NORMINV(RAND(),mean,se)</f>
        <v>1143.7683354791268</v>
      </c>
      <c r="M6" s="8">
        <f t="shared" ref="M6:M13" si="0">(K6-J6)/(2*NORMINV(0.975,0,1))</f>
        <v>255.10672846232703</v>
      </c>
    </row>
    <row r="7" spans="1:15" x14ac:dyDescent="0.2">
      <c r="A7" t="s">
        <v>10</v>
      </c>
      <c r="B7">
        <v>1000</v>
      </c>
      <c r="C7" s="41" t="s">
        <v>11</v>
      </c>
      <c r="I7">
        <v>1000</v>
      </c>
      <c r="J7">
        <v>800</v>
      </c>
      <c r="K7">
        <v>1200</v>
      </c>
      <c r="L7" s="6">
        <f ca="1">NORMINV(RAND(),mean,se)</f>
        <v>944.36039146586563</v>
      </c>
      <c r="M7" s="8">
        <f t="shared" si="0"/>
        <v>102.04269138493082</v>
      </c>
    </row>
    <row r="8" spans="1:15" x14ac:dyDescent="0.2">
      <c r="A8" t="s">
        <v>108</v>
      </c>
      <c r="B8">
        <v>0.15</v>
      </c>
      <c r="C8" s="41" t="s">
        <v>13</v>
      </c>
      <c r="I8">
        <v>0.15</v>
      </c>
      <c r="J8" s="8">
        <v>0.1</v>
      </c>
      <c r="K8" s="8">
        <v>0.2</v>
      </c>
      <c r="L8" s="34">
        <f ca="1">BETAINV(RAND(),N8,O8)</f>
        <v>0.16245860947609314</v>
      </c>
      <c r="M8" s="31">
        <f t="shared" si="0"/>
        <v>2.5510672846232704E-2</v>
      </c>
      <c r="N8" s="6">
        <f>(mean^2)*(1-mean)/(se^2)</f>
        <v>29.387159978310045</v>
      </c>
      <c r="O8" s="6">
        <f>mean*(1-mean)/(se^2)-alpha</f>
        <v>166.52723987709024</v>
      </c>
    </row>
    <row r="9" spans="1:15" x14ac:dyDescent="0.2">
      <c r="A9" t="s">
        <v>14</v>
      </c>
      <c r="B9">
        <v>3000</v>
      </c>
      <c r="C9" s="41" t="s">
        <v>15</v>
      </c>
      <c r="I9">
        <v>3000</v>
      </c>
      <c r="J9">
        <v>2000</v>
      </c>
      <c r="K9">
        <v>4000</v>
      </c>
      <c r="L9" s="6">
        <f ca="1">NORMINV(RAND(),mean,se)</f>
        <v>2666.08282762196</v>
      </c>
      <c r="M9" s="8">
        <f t="shared" si="0"/>
        <v>510.21345692465405</v>
      </c>
      <c r="N9" s="6"/>
      <c r="O9" s="6"/>
    </row>
    <row r="10" spans="1:15" x14ac:dyDescent="0.2">
      <c r="A10" t="s">
        <v>100</v>
      </c>
      <c r="B10" s="3">
        <v>0.5</v>
      </c>
      <c r="C10" s="41" t="s">
        <v>19</v>
      </c>
      <c r="I10" s="3">
        <v>0.5</v>
      </c>
      <c r="J10" s="3">
        <v>0.4</v>
      </c>
      <c r="K10" s="3">
        <v>0.6</v>
      </c>
      <c r="L10" s="3">
        <f ca="1">NORMINV(RAND(),mean,se)</f>
        <v>0.50041987963809975</v>
      </c>
      <c r="M10" s="31">
        <f t="shared" si="0"/>
        <v>5.1021345692465393E-2</v>
      </c>
      <c r="N10" s="6"/>
      <c r="O10" s="6"/>
    </row>
    <row r="11" spans="1:15" x14ac:dyDescent="0.2">
      <c r="A11" t="s">
        <v>101</v>
      </c>
      <c r="B11" s="10">
        <v>0.01</v>
      </c>
      <c r="C11" s="41" t="s">
        <v>59</v>
      </c>
      <c r="I11" s="10">
        <v>0.01</v>
      </c>
      <c r="J11" s="10">
        <v>5.0000000000000001E-3</v>
      </c>
      <c r="K11" s="10">
        <v>1.4999999999999999E-2</v>
      </c>
      <c r="L11" s="34">
        <f ca="1">BETAINV(RAND(),N11,O11)</f>
        <v>6.0275625787096629E-3</v>
      </c>
      <c r="M11" s="31">
        <f t="shared" si="0"/>
        <v>2.55106728462327E-3</v>
      </c>
      <c r="N11" s="6">
        <f>(mean^2)*(1-mean)/(se^2)</f>
        <v>15.212176929948734</v>
      </c>
      <c r="O11" s="6">
        <f>mean*(1-mean)/(se^2)-alpha</f>
        <v>1506.0055160649247</v>
      </c>
    </row>
    <row r="12" spans="1:15" x14ac:dyDescent="0.2">
      <c r="A12" t="s">
        <v>24</v>
      </c>
      <c r="B12" s="8">
        <v>0.95</v>
      </c>
      <c r="C12" s="41" t="s">
        <v>25</v>
      </c>
      <c r="I12" s="8">
        <v>0.95</v>
      </c>
      <c r="J12" s="8">
        <v>0.9</v>
      </c>
      <c r="K12" s="8">
        <v>1</v>
      </c>
      <c r="L12" s="34">
        <f ca="1">BETAINV(RAND(),N12,O12)</f>
        <v>0.97433346209757632</v>
      </c>
      <c r="M12" s="31">
        <f t="shared" si="0"/>
        <v>2.5510672846232697E-2</v>
      </c>
      <c r="N12" s="6">
        <f>(mean^2)*(1-mean)/(se^2)</f>
        <v>69.33833171352903</v>
      </c>
      <c r="O12" s="6">
        <f>mean*(1-mean)/(se^2)-alpha</f>
        <v>3.6493858796594196</v>
      </c>
    </row>
    <row r="13" spans="1:15" x14ac:dyDescent="0.2">
      <c r="A13" t="s">
        <v>26</v>
      </c>
      <c r="B13">
        <v>0.75</v>
      </c>
      <c r="C13" s="41" t="s">
        <v>27</v>
      </c>
      <c r="I13">
        <v>0.75</v>
      </c>
      <c r="J13">
        <v>0.6</v>
      </c>
      <c r="K13">
        <v>0.9</v>
      </c>
      <c r="L13" s="34">
        <f ca="1">BETAINV(RAND(),N13,O13)</f>
        <v>0.89215532601625647</v>
      </c>
      <c r="M13" s="31">
        <f t="shared" si="0"/>
        <v>7.6532018538698121E-2</v>
      </c>
      <c r="N13" s="6">
        <f>(mean^2)*(1-mean)/(se^2)</f>
        <v>24.009117629338263</v>
      </c>
      <c r="O13" s="6">
        <f>mean*(1-mean)/(se^2)-alpha</f>
        <v>8.0030392097794234</v>
      </c>
    </row>
    <row r="14" spans="1:15" x14ac:dyDescent="0.2">
      <c r="C14" s="41"/>
    </row>
    <row r="15" spans="1:15" ht="15.75" x14ac:dyDescent="0.25">
      <c r="A15" t="s">
        <v>16</v>
      </c>
      <c r="B15">
        <v>1</v>
      </c>
      <c r="C15" s="41" t="s">
        <v>17</v>
      </c>
      <c r="I15" s="2"/>
      <c r="J15" s="2"/>
      <c r="L15" s="3"/>
    </row>
    <row r="16" spans="1:15" x14ac:dyDescent="0.2">
      <c r="A16" t="s">
        <v>20</v>
      </c>
      <c r="B16">
        <v>55</v>
      </c>
      <c r="C16" s="41" t="s">
        <v>28</v>
      </c>
    </row>
    <row r="17" spans="1:14" x14ac:dyDescent="0.2">
      <c r="A17" t="s">
        <v>8</v>
      </c>
      <c r="B17" s="3">
        <v>0.06</v>
      </c>
      <c r="C17" s="41" t="s">
        <v>9</v>
      </c>
      <c r="I17" s="1"/>
      <c r="J17" s="1"/>
    </row>
    <row r="18" spans="1:14" x14ac:dyDescent="0.2">
      <c r="A18" t="s">
        <v>21</v>
      </c>
      <c r="B18" s="3">
        <v>0.06</v>
      </c>
      <c r="C18" s="41" t="s">
        <v>22</v>
      </c>
    </row>
    <row r="19" spans="1:14" x14ac:dyDescent="0.2">
      <c r="A19" t="s">
        <v>38</v>
      </c>
      <c r="B19">
        <v>1.6999999999999999E-3</v>
      </c>
      <c r="C19" s="41" t="s">
        <v>102</v>
      </c>
      <c r="I19" t="s">
        <v>130</v>
      </c>
      <c r="L19" s="28"/>
      <c r="M19" s="28"/>
      <c r="N19" s="33"/>
    </row>
    <row r="20" spans="1:14" x14ac:dyDescent="0.2">
      <c r="A20" t="s">
        <v>39</v>
      </c>
      <c r="B20">
        <v>4.4000000000000003E-3</v>
      </c>
      <c r="C20" s="41" t="s">
        <v>103</v>
      </c>
      <c r="I20" t="s">
        <v>131</v>
      </c>
      <c r="L20" s="28"/>
      <c r="M20" s="28"/>
      <c r="N20" s="33"/>
    </row>
    <row r="21" spans="1:14" x14ac:dyDescent="0.2">
      <c r="A21" t="s">
        <v>40</v>
      </c>
      <c r="B21">
        <v>1.38E-2</v>
      </c>
      <c r="C21" s="41" t="s">
        <v>104</v>
      </c>
      <c r="L21" s="28"/>
      <c r="M21" s="28"/>
      <c r="N21" s="33"/>
    </row>
    <row r="22" spans="1:14" x14ac:dyDescent="0.2">
      <c r="A22" t="s">
        <v>41</v>
      </c>
      <c r="B22">
        <v>3.7900000000000003E-2</v>
      </c>
      <c r="C22" s="41" t="s">
        <v>105</v>
      </c>
      <c r="K22" s="31"/>
      <c r="L22" s="28"/>
      <c r="M22" s="28"/>
      <c r="N22" s="33"/>
    </row>
    <row r="23" spans="1:14" x14ac:dyDescent="0.2">
      <c r="A23" t="s">
        <v>42</v>
      </c>
      <c r="B23">
        <v>9.1200000000000003E-2</v>
      </c>
      <c r="C23" s="41" t="s">
        <v>106</v>
      </c>
      <c r="L23" s="28"/>
      <c r="M23" s="28"/>
      <c r="N23" s="33"/>
    </row>
    <row r="24" spans="1:14" x14ac:dyDescent="0.2">
      <c r="A24" t="s">
        <v>43</v>
      </c>
      <c r="B24">
        <v>0.1958</v>
      </c>
      <c r="C24" s="41" t="s">
        <v>107</v>
      </c>
      <c r="J24" s="3"/>
      <c r="K24" s="32"/>
      <c r="L24" s="28"/>
      <c r="M24" s="28"/>
      <c r="N24" s="33"/>
    </row>
    <row r="25" spans="1:14" x14ac:dyDescent="0.2">
      <c r="J25" s="10"/>
      <c r="K25" s="31"/>
      <c r="L25" s="28"/>
      <c r="M25" s="28"/>
      <c r="N25" s="33"/>
    </row>
    <row r="26" spans="1:14" x14ac:dyDescent="0.2">
      <c r="J26" s="8"/>
      <c r="K26" s="31"/>
      <c r="L26" s="28"/>
      <c r="M26" s="28"/>
      <c r="N26" s="33"/>
    </row>
    <row r="27" spans="1:14" x14ac:dyDescent="0.2">
      <c r="K27" s="31"/>
      <c r="L27" s="28"/>
      <c r="M27" s="28"/>
      <c r="N27" s="33"/>
    </row>
    <row r="28" spans="1:14" ht="15.75" x14ac:dyDescent="0.25">
      <c r="A28" s="2" t="s">
        <v>62</v>
      </c>
      <c r="M28" s="4"/>
    </row>
    <row r="30" spans="1:14" x14ac:dyDescent="0.2">
      <c r="A30" s="1" t="s">
        <v>29</v>
      </c>
      <c r="B30" s="1" t="s">
        <v>31</v>
      </c>
      <c r="C30" s="1" t="s">
        <v>30</v>
      </c>
      <c r="M30" s="4"/>
    </row>
    <row r="31" spans="1:14" x14ac:dyDescent="0.2">
      <c r="A31" t="s">
        <v>53</v>
      </c>
      <c r="B31" s="7">
        <f>'Markov Model'!C60</f>
        <v>7.7559516801447357</v>
      </c>
      <c r="C31" s="5">
        <f>'Markov Model'!B60</f>
        <v>9264.8968067327023</v>
      </c>
    </row>
    <row r="32" spans="1:14" x14ac:dyDescent="0.2">
      <c r="A32" t="s">
        <v>54</v>
      </c>
      <c r="B32" s="7">
        <f>'Markov Model'!C61</f>
        <v>8.6247378423777317</v>
      </c>
      <c r="C32" s="5">
        <f>'Markov Model'!B61</f>
        <v>16155.440438662308</v>
      </c>
      <c r="L32" s="5"/>
    </row>
    <row r="33" spans="1:12" x14ac:dyDescent="0.2">
      <c r="A33" t="s">
        <v>63</v>
      </c>
      <c r="B33" s="7">
        <f>'Markov Model'!C62</f>
        <v>0.86878616223299598</v>
      </c>
      <c r="C33" s="5">
        <f>'Markov Model'!B62</f>
        <v>6890.5436319296059</v>
      </c>
      <c r="D33" s="5">
        <f>'Markov Model'!B63</f>
        <v>7931.2308729908855</v>
      </c>
      <c r="E33" s="1" t="s">
        <v>55</v>
      </c>
      <c r="L33" s="5"/>
    </row>
    <row r="34" spans="1:12" x14ac:dyDescent="0.2">
      <c r="C34" s="5"/>
      <c r="L34" s="5"/>
    </row>
    <row r="35" spans="1:12" x14ac:dyDescent="0.2">
      <c r="A35" s="1" t="s">
        <v>126</v>
      </c>
      <c r="L35" s="5"/>
    </row>
    <row r="36" spans="1:12" x14ac:dyDescent="0.2">
      <c r="L36" s="5"/>
    </row>
    <row r="37" spans="1:12" x14ac:dyDescent="0.2">
      <c r="A37" t="s">
        <v>127</v>
      </c>
      <c r="B37" s="3" t="s">
        <v>128</v>
      </c>
      <c r="C37" t="s">
        <v>129</v>
      </c>
      <c r="D37" t="s">
        <v>55</v>
      </c>
      <c r="L37" s="5"/>
    </row>
    <row r="38" spans="1:12" x14ac:dyDescent="0.2">
      <c r="A38">
        <v>1</v>
      </c>
      <c r="B38" s="7">
        <v>0.61420849125557275</v>
      </c>
      <c r="C38" s="28">
        <v>6556.5914197712173</v>
      </c>
      <c r="D38" s="28">
        <v>10674.862873302436</v>
      </c>
      <c r="F38" s="9" t="s">
        <v>97</v>
      </c>
      <c r="G38" s="28">
        <f>MIN($D$38:$D$1037)</f>
        <v>3627.4485732420239</v>
      </c>
      <c r="L38" s="5"/>
    </row>
    <row r="39" spans="1:12" x14ac:dyDescent="0.2">
      <c r="A39">
        <v>2</v>
      </c>
      <c r="B39" s="7">
        <v>0.77388238386121877</v>
      </c>
      <c r="C39" s="28">
        <v>8037.7686036442228</v>
      </c>
      <c r="D39" s="28">
        <v>10386.292247073097</v>
      </c>
      <c r="F39" s="9" t="s">
        <v>96</v>
      </c>
      <c r="G39" s="28">
        <f>MEDIAN($D$38:$D$1037)</f>
        <v>8170.3371091075096</v>
      </c>
      <c r="L39" s="5"/>
    </row>
    <row r="40" spans="1:12" x14ac:dyDescent="0.2">
      <c r="A40">
        <v>3</v>
      </c>
      <c r="B40" s="7">
        <v>1.0850570307669418</v>
      </c>
      <c r="C40" s="28">
        <v>5801.4660471387742</v>
      </c>
      <c r="D40" s="28">
        <v>5346.6922775830244</v>
      </c>
      <c r="F40" s="9" t="s">
        <v>98</v>
      </c>
      <c r="G40" s="28">
        <f>MAX($D$38:$D$1037)</f>
        <v>18359.935388593436</v>
      </c>
      <c r="L40" s="5"/>
    </row>
    <row r="41" spans="1:12" x14ac:dyDescent="0.2">
      <c r="A41">
        <v>4</v>
      </c>
      <c r="B41" s="7">
        <v>0.68849281782981109</v>
      </c>
      <c r="C41" s="28">
        <v>6470.0267959464582</v>
      </c>
      <c r="D41" s="28">
        <v>9397.3773268115456</v>
      </c>
      <c r="F41" s="9" t="s">
        <v>32</v>
      </c>
      <c r="G41" s="28">
        <f>AVERAGE($D$38:$D$1037)</f>
        <v>8457.4003974270818</v>
      </c>
    </row>
    <row r="42" spans="1:12" x14ac:dyDescent="0.2">
      <c r="A42">
        <v>5</v>
      </c>
      <c r="B42" s="7">
        <v>0.87187102796618987</v>
      </c>
      <c r="C42" s="28">
        <v>7240.2127847592528</v>
      </c>
      <c r="D42" s="28">
        <v>8304.2245384027374</v>
      </c>
      <c r="F42" s="9" t="s">
        <v>95</v>
      </c>
      <c r="G42" s="28">
        <f>STDEV($D$38:$D$1037)</f>
        <v>2137.4176858514597</v>
      </c>
    </row>
    <row r="43" spans="1:12" x14ac:dyDescent="0.2">
      <c r="A43">
        <v>6</v>
      </c>
      <c r="B43" s="7">
        <v>0.60683536909907509</v>
      </c>
      <c r="C43" s="28">
        <v>7692.7378782359501</v>
      </c>
      <c r="D43" s="28">
        <v>12676.811982229719</v>
      </c>
      <c r="F43" s="30">
        <v>2.5000000000000001E-2</v>
      </c>
      <c r="G43" s="28">
        <f>PERCENTILE($D$38:$D$1037,0.025)</f>
        <v>5164.1737212077633</v>
      </c>
    </row>
    <row r="44" spans="1:12" x14ac:dyDescent="0.2">
      <c r="A44">
        <v>7</v>
      </c>
      <c r="B44" s="7">
        <v>0.97263285970145841</v>
      </c>
      <c r="C44" s="28">
        <v>6717.9749249616634</v>
      </c>
      <c r="D44" s="28">
        <v>6906.9997563352836</v>
      </c>
      <c r="F44" s="30">
        <v>0.97499999999999998</v>
      </c>
      <c r="G44" s="28">
        <f>PERCENTILE($D$38:$D$1037,0.975)</f>
        <v>13261.16380721152</v>
      </c>
    </row>
    <row r="45" spans="1:12" x14ac:dyDescent="0.2">
      <c r="A45">
        <v>8</v>
      </c>
      <c r="B45" s="7">
        <v>0.92290879731553854</v>
      </c>
      <c r="C45" s="28">
        <v>7108.3262635061983</v>
      </c>
      <c r="D45" s="28">
        <v>7702.0896151192419</v>
      </c>
    </row>
    <row r="46" spans="1:12" x14ac:dyDescent="0.2">
      <c r="A46">
        <v>9</v>
      </c>
      <c r="B46" s="7">
        <v>0.97690850024572562</v>
      </c>
      <c r="C46" s="28">
        <v>7516.6766158983664</v>
      </c>
      <c r="D46" s="28">
        <v>7694.350713508652</v>
      </c>
    </row>
    <row r="47" spans="1:12" x14ac:dyDescent="0.2">
      <c r="A47">
        <v>10</v>
      </c>
      <c r="B47" s="7">
        <v>0.72347718077019785</v>
      </c>
      <c r="C47" s="28">
        <v>7606.3014004826991</v>
      </c>
      <c r="D47" s="28">
        <v>10513.533256688481</v>
      </c>
    </row>
    <row r="48" spans="1:12" x14ac:dyDescent="0.2">
      <c r="A48">
        <v>11</v>
      </c>
      <c r="B48" s="7">
        <v>1.0094113145988466</v>
      </c>
      <c r="C48" s="28">
        <v>7125.2245655481793</v>
      </c>
      <c r="D48" s="28">
        <v>7058.7920528509603</v>
      </c>
    </row>
    <row r="49" spans="1:5" x14ac:dyDescent="0.2">
      <c r="A49">
        <v>12</v>
      </c>
      <c r="B49" s="7">
        <v>0.84847055477074118</v>
      </c>
      <c r="C49" s="28">
        <v>7517.0378597718664</v>
      </c>
      <c r="D49" s="28">
        <v>8859.5152978561382</v>
      </c>
      <c r="E49" s="4"/>
    </row>
    <row r="50" spans="1:5" x14ac:dyDescent="0.2">
      <c r="A50">
        <v>13</v>
      </c>
      <c r="B50" s="7">
        <v>1.1519469332312662</v>
      </c>
      <c r="C50" s="28">
        <v>6828.5459016300174</v>
      </c>
      <c r="D50" s="28">
        <v>5927.830271204959</v>
      </c>
    </row>
    <row r="51" spans="1:5" x14ac:dyDescent="0.2">
      <c r="A51">
        <v>14</v>
      </c>
      <c r="B51" s="7">
        <v>0.70125783182074652</v>
      </c>
      <c r="C51" s="28">
        <v>6176.8677042632971</v>
      </c>
      <c r="D51" s="28">
        <v>8808.2691186858792</v>
      </c>
    </row>
    <row r="52" spans="1:5" x14ac:dyDescent="0.2">
      <c r="A52">
        <v>15</v>
      </c>
      <c r="B52" s="7">
        <v>0.9343488593927054</v>
      </c>
      <c r="C52" s="28">
        <v>6419.2346916210208</v>
      </c>
      <c r="D52" s="28">
        <v>6870.2761576583962</v>
      </c>
    </row>
    <row r="53" spans="1:5" x14ac:dyDescent="0.2">
      <c r="A53">
        <v>16</v>
      </c>
      <c r="B53" s="7">
        <v>0.72197221429886582</v>
      </c>
      <c r="C53" s="28">
        <v>8998.7297368502859</v>
      </c>
      <c r="D53" s="28">
        <v>12464.094266549148</v>
      </c>
    </row>
    <row r="54" spans="1:5" x14ac:dyDescent="0.2">
      <c r="A54">
        <v>17</v>
      </c>
      <c r="B54" s="7">
        <v>0.92247968623205878</v>
      </c>
      <c r="C54" s="28">
        <v>7845.9072144293877</v>
      </c>
      <c r="D54" s="28">
        <v>8505.2357591489254</v>
      </c>
    </row>
    <row r="55" spans="1:5" x14ac:dyDescent="0.2">
      <c r="A55">
        <v>18</v>
      </c>
      <c r="B55" s="7">
        <v>0.9925354705735856</v>
      </c>
      <c r="C55" s="28">
        <v>5410.8664585497145</v>
      </c>
      <c r="D55" s="28">
        <v>5451.5597869996309</v>
      </c>
    </row>
    <row r="56" spans="1:5" x14ac:dyDescent="0.2">
      <c r="A56">
        <v>19</v>
      </c>
      <c r="B56" s="7">
        <v>0.71474202959543476</v>
      </c>
      <c r="C56" s="28">
        <v>8905.3380252229763</v>
      </c>
      <c r="D56" s="28">
        <v>12459.513581793508</v>
      </c>
    </row>
    <row r="57" spans="1:5" x14ac:dyDescent="0.2">
      <c r="A57">
        <v>20</v>
      </c>
      <c r="B57" s="7">
        <v>0.93962392781993298</v>
      </c>
      <c r="C57" s="28">
        <v>7524.8700594271832</v>
      </c>
      <c r="D57" s="28">
        <v>8008.384883179805</v>
      </c>
    </row>
    <row r="58" spans="1:5" x14ac:dyDescent="0.2">
      <c r="A58">
        <v>21</v>
      </c>
      <c r="B58" s="7">
        <v>1.2454011882344131</v>
      </c>
      <c r="C58" s="28">
        <v>4517.6287633748434</v>
      </c>
      <c r="D58" s="28">
        <v>3627.4485732420239</v>
      </c>
    </row>
    <row r="59" spans="1:5" x14ac:dyDescent="0.2">
      <c r="A59">
        <v>22</v>
      </c>
      <c r="B59" s="7">
        <v>0.73855734859952982</v>
      </c>
      <c r="C59" s="28">
        <v>7466.6700367179174</v>
      </c>
      <c r="D59" s="28">
        <v>10109.803999481417</v>
      </c>
    </row>
    <row r="60" spans="1:5" x14ac:dyDescent="0.2">
      <c r="A60">
        <v>23</v>
      </c>
      <c r="B60" s="7">
        <v>0.79912674263698769</v>
      </c>
      <c r="C60" s="28">
        <v>7954.944264438398</v>
      </c>
      <c r="D60" s="28">
        <v>9954.5464317567221</v>
      </c>
    </row>
    <row r="61" spans="1:5" x14ac:dyDescent="0.2">
      <c r="A61">
        <v>24</v>
      </c>
      <c r="B61" s="7">
        <v>0.85683515104076236</v>
      </c>
      <c r="C61" s="28">
        <v>6123.5370066756805</v>
      </c>
      <c r="D61" s="28">
        <v>7146.692102019475</v>
      </c>
    </row>
    <row r="62" spans="1:5" x14ac:dyDescent="0.2">
      <c r="A62">
        <v>25</v>
      </c>
      <c r="B62" s="7">
        <v>0.86955933533215557</v>
      </c>
      <c r="C62" s="28">
        <v>7115.329633931633</v>
      </c>
      <c r="D62" s="28">
        <v>8182.6844297102607</v>
      </c>
    </row>
    <row r="63" spans="1:5" x14ac:dyDescent="0.2">
      <c r="A63">
        <v>26</v>
      </c>
      <c r="B63" s="7">
        <v>0.71246000943141397</v>
      </c>
      <c r="C63" s="28">
        <v>8100.7566116729149</v>
      </c>
      <c r="D63" s="28">
        <v>11370.121135834426</v>
      </c>
    </row>
    <row r="64" spans="1:5" x14ac:dyDescent="0.2">
      <c r="A64">
        <v>27</v>
      </c>
      <c r="B64" s="7">
        <v>0.92682357815900218</v>
      </c>
      <c r="C64" s="28">
        <v>8706.2621727384358</v>
      </c>
      <c r="D64" s="28">
        <v>9393.656331048609</v>
      </c>
    </row>
    <row r="65" spans="1:4" x14ac:dyDescent="0.2">
      <c r="A65">
        <v>28</v>
      </c>
      <c r="B65" s="7">
        <v>0.70894878033209707</v>
      </c>
      <c r="C65" s="28">
        <v>8041.6949268540138</v>
      </c>
      <c r="D65" s="28">
        <v>11343.125413216729</v>
      </c>
    </row>
    <row r="66" spans="1:4" x14ac:dyDescent="0.2">
      <c r="A66">
        <v>29</v>
      </c>
      <c r="B66" s="7">
        <v>0.87350736866391099</v>
      </c>
      <c r="C66" s="28">
        <v>6452.3019695395833</v>
      </c>
      <c r="D66" s="28">
        <v>7386.6600340290415</v>
      </c>
    </row>
    <row r="67" spans="1:4" x14ac:dyDescent="0.2">
      <c r="A67">
        <v>30</v>
      </c>
      <c r="B67" s="7">
        <v>0.93904751432779676</v>
      </c>
      <c r="C67" s="28">
        <v>4851.5891057581448</v>
      </c>
      <c r="D67" s="28">
        <v>5166.5001309663048</v>
      </c>
    </row>
    <row r="68" spans="1:4" x14ac:dyDescent="0.2">
      <c r="A68">
        <v>31</v>
      </c>
      <c r="B68" s="7">
        <v>0.9318713376915575</v>
      </c>
      <c r="C68" s="28">
        <v>7992.6458069639721</v>
      </c>
      <c r="D68" s="28">
        <v>8576.9842720599681</v>
      </c>
    </row>
    <row r="69" spans="1:4" x14ac:dyDescent="0.2">
      <c r="A69">
        <v>32</v>
      </c>
      <c r="B69" s="7">
        <v>1.0074491686114442</v>
      </c>
      <c r="C69" s="28">
        <v>7267.767599119541</v>
      </c>
      <c r="D69" s="28">
        <v>7214.0290801337633</v>
      </c>
    </row>
    <row r="70" spans="1:4" x14ac:dyDescent="0.2">
      <c r="A70">
        <v>33</v>
      </c>
      <c r="B70" s="7">
        <v>0.94851070550525218</v>
      </c>
      <c r="C70" s="28">
        <v>6969.7451815927279</v>
      </c>
      <c r="D70" s="28">
        <v>7348.0933226579536</v>
      </c>
    </row>
    <row r="71" spans="1:4" x14ac:dyDescent="0.2">
      <c r="A71">
        <v>34</v>
      </c>
      <c r="B71" s="7">
        <v>1.1181313108574731</v>
      </c>
      <c r="C71" s="28">
        <v>7289.4868082080466</v>
      </c>
      <c r="D71" s="28">
        <v>6519.3477165198792</v>
      </c>
    </row>
    <row r="72" spans="1:4" x14ac:dyDescent="0.2">
      <c r="A72">
        <v>35</v>
      </c>
      <c r="B72" s="7">
        <v>1.2814506916344062</v>
      </c>
      <c r="C72" s="28">
        <v>7256.6732878062003</v>
      </c>
      <c r="D72" s="28">
        <v>5662.8579899167171</v>
      </c>
    </row>
    <row r="73" spans="1:4" x14ac:dyDescent="0.2">
      <c r="A73">
        <v>36</v>
      </c>
      <c r="B73" s="7">
        <v>0.96810727071525271</v>
      </c>
      <c r="C73" s="28">
        <v>6345.0020220019996</v>
      </c>
      <c r="D73" s="28">
        <v>6554.0278582085366</v>
      </c>
    </row>
    <row r="74" spans="1:4" x14ac:dyDescent="0.2">
      <c r="A74">
        <v>37</v>
      </c>
      <c r="B74" s="7">
        <v>0.79896314686206615</v>
      </c>
      <c r="C74" s="28">
        <v>7498.5740331733432</v>
      </c>
      <c r="D74" s="28">
        <v>9385.3816194452138</v>
      </c>
    </row>
    <row r="75" spans="1:4" x14ac:dyDescent="0.2">
      <c r="A75">
        <v>38</v>
      </c>
      <c r="B75" s="7">
        <v>0.81783914694069004</v>
      </c>
      <c r="C75" s="28">
        <v>8784.1393972981678</v>
      </c>
      <c r="D75" s="28">
        <v>10740.668785735194</v>
      </c>
    </row>
    <row r="76" spans="1:4" x14ac:dyDescent="0.2">
      <c r="A76">
        <v>39</v>
      </c>
      <c r="B76" s="7">
        <v>0.76308904647753995</v>
      </c>
      <c r="C76" s="28">
        <v>7589.2047524512309</v>
      </c>
      <c r="D76" s="28">
        <v>9945.3724142462906</v>
      </c>
    </row>
    <row r="77" spans="1:4" x14ac:dyDescent="0.2">
      <c r="A77">
        <v>40</v>
      </c>
      <c r="B77" s="7">
        <v>0.83487883316415701</v>
      </c>
      <c r="C77" s="28">
        <v>5721.8538137781534</v>
      </c>
      <c r="D77" s="28">
        <v>6853.5140507665756</v>
      </c>
    </row>
    <row r="78" spans="1:4" x14ac:dyDescent="0.2">
      <c r="A78">
        <v>41</v>
      </c>
      <c r="B78" s="7">
        <v>0.85707418732492879</v>
      </c>
      <c r="C78" s="28">
        <v>6189.2251805926953</v>
      </c>
      <c r="D78" s="28">
        <v>7221.3412469115392</v>
      </c>
    </row>
    <row r="79" spans="1:4" x14ac:dyDescent="0.2">
      <c r="A79">
        <v>42</v>
      </c>
      <c r="B79" s="7">
        <v>1.0800124881822617</v>
      </c>
      <c r="C79" s="28">
        <v>6888.9186569620688</v>
      </c>
      <c r="D79" s="28">
        <v>6378.5546300085953</v>
      </c>
    </row>
    <row r="80" spans="1:4" x14ac:dyDescent="0.2">
      <c r="A80">
        <v>43</v>
      </c>
      <c r="B80" s="7">
        <v>0.95224704287388562</v>
      </c>
      <c r="C80" s="28">
        <v>5998.9888499577564</v>
      </c>
      <c r="D80" s="28">
        <v>6299.8240791095368</v>
      </c>
    </row>
    <row r="81" spans="1:4" x14ac:dyDescent="0.2">
      <c r="A81">
        <v>44</v>
      </c>
      <c r="B81" s="7">
        <v>0.98581913116726305</v>
      </c>
      <c r="C81" s="28">
        <v>5712.0581621792562</v>
      </c>
      <c r="D81" s="28">
        <v>5794.2253113062143</v>
      </c>
    </row>
    <row r="82" spans="1:4" x14ac:dyDescent="0.2">
      <c r="A82">
        <v>45</v>
      </c>
      <c r="B82" s="7">
        <v>1.0978565278351482</v>
      </c>
      <c r="C82" s="28">
        <v>5090.0077346469316</v>
      </c>
      <c r="D82" s="28">
        <v>4636.3141317598802</v>
      </c>
    </row>
    <row r="83" spans="1:4" x14ac:dyDescent="0.2">
      <c r="A83">
        <v>46</v>
      </c>
      <c r="B83" s="7">
        <v>0.70003580167966817</v>
      </c>
      <c r="C83" s="28">
        <v>5830.9314598407436</v>
      </c>
      <c r="D83" s="28">
        <v>8329.4760722951432</v>
      </c>
    </row>
    <row r="84" spans="1:4" x14ac:dyDescent="0.2">
      <c r="A84">
        <v>47</v>
      </c>
      <c r="B84" s="7">
        <v>1.1574119274528289</v>
      </c>
      <c r="C84" s="28">
        <v>5795.2698110046513</v>
      </c>
      <c r="D84" s="28">
        <v>5007.0935624091717</v>
      </c>
    </row>
    <row r="85" spans="1:4" x14ac:dyDescent="0.2">
      <c r="A85">
        <v>48</v>
      </c>
      <c r="B85" s="7">
        <v>0.69504700449015644</v>
      </c>
      <c r="C85" s="28">
        <v>7922.7722072066208</v>
      </c>
      <c r="D85" s="28">
        <v>11398.901305989049</v>
      </c>
    </row>
    <row r="86" spans="1:4" x14ac:dyDescent="0.2">
      <c r="A86">
        <v>49</v>
      </c>
      <c r="B86" s="7">
        <v>0.78585487585521552</v>
      </c>
      <c r="C86" s="28">
        <v>4400.2353820646877</v>
      </c>
      <c r="D86" s="28">
        <v>5599.2976785644823</v>
      </c>
    </row>
    <row r="87" spans="1:4" x14ac:dyDescent="0.2">
      <c r="A87">
        <v>50</v>
      </c>
      <c r="B87" s="7">
        <v>0.87477107619330052</v>
      </c>
      <c r="C87" s="28">
        <v>6488.7905037281071</v>
      </c>
      <c r="D87" s="28">
        <v>7417.7012481540505</v>
      </c>
    </row>
    <row r="88" spans="1:4" x14ac:dyDescent="0.2">
      <c r="A88">
        <v>51</v>
      </c>
      <c r="B88" s="7">
        <v>0.68517936616220698</v>
      </c>
      <c r="C88" s="28">
        <v>6630.4970937823782</v>
      </c>
      <c r="D88" s="28">
        <v>9677.0238878044347</v>
      </c>
    </row>
    <row r="89" spans="1:4" x14ac:dyDescent="0.2">
      <c r="A89">
        <v>52</v>
      </c>
      <c r="B89" s="7">
        <v>0.88574736895327089</v>
      </c>
      <c r="C89" s="28">
        <v>8084.5503710557032</v>
      </c>
      <c r="D89" s="28">
        <v>9127.3772346731257</v>
      </c>
    </row>
    <row r="90" spans="1:4" x14ac:dyDescent="0.2">
      <c r="A90">
        <v>53</v>
      </c>
      <c r="B90" s="7">
        <v>1.0388592182882119</v>
      </c>
      <c r="C90" s="28">
        <v>6399.8794589670197</v>
      </c>
      <c r="D90" s="28">
        <v>6160.4877218228557</v>
      </c>
    </row>
    <row r="91" spans="1:4" x14ac:dyDescent="0.2">
      <c r="A91">
        <v>54</v>
      </c>
      <c r="B91" s="35">
        <v>0.91269520652074743</v>
      </c>
      <c r="C91" s="36">
        <v>6787.4317996539121</v>
      </c>
      <c r="D91" s="36">
        <v>7436.6905305967766</v>
      </c>
    </row>
    <row r="92" spans="1:4" x14ac:dyDescent="0.2">
      <c r="A92">
        <v>55</v>
      </c>
      <c r="B92" s="7">
        <v>0.78508297295177165</v>
      </c>
      <c r="C92" s="28">
        <v>6865.5317114552927</v>
      </c>
      <c r="D92" s="28">
        <v>8744.975942660074</v>
      </c>
    </row>
    <row r="93" spans="1:4" x14ac:dyDescent="0.2">
      <c r="A93">
        <v>56</v>
      </c>
      <c r="B93" s="7">
        <v>0.79199827280341495</v>
      </c>
      <c r="C93" s="28">
        <v>5386.1412898345025</v>
      </c>
      <c r="D93" s="28">
        <v>6800.6982777491712</v>
      </c>
    </row>
    <row r="94" spans="1:4" x14ac:dyDescent="0.2">
      <c r="A94">
        <v>57</v>
      </c>
      <c r="B94" s="7">
        <v>0.73744993523852642</v>
      </c>
      <c r="C94" s="28">
        <v>7237.9240029782177</v>
      </c>
      <c r="D94" s="28">
        <v>9814.8005133896022</v>
      </c>
    </row>
    <row r="95" spans="1:4" x14ac:dyDescent="0.2">
      <c r="A95">
        <v>58</v>
      </c>
      <c r="B95" s="7">
        <v>0.75344455340515992</v>
      </c>
      <c r="C95" s="28">
        <v>5846.4197520777143</v>
      </c>
      <c r="D95" s="28">
        <v>7759.5885797502606</v>
      </c>
    </row>
    <row r="96" spans="1:4" x14ac:dyDescent="0.2">
      <c r="A96">
        <v>59</v>
      </c>
      <c r="B96" s="7">
        <v>1.1930307921884733</v>
      </c>
      <c r="C96" s="28">
        <v>7520.7030254386664</v>
      </c>
      <c r="D96" s="28">
        <v>6303.863298987304</v>
      </c>
    </row>
    <row r="97" spans="1:4" x14ac:dyDescent="0.2">
      <c r="A97">
        <v>60</v>
      </c>
      <c r="B97" s="7">
        <v>0.85681381696818537</v>
      </c>
      <c r="C97" s="28">
        <v>6543.9070412231031</v>
      </c>
      <c r="D97" s="28">
        <v>7637.4900960147415</v>
      </c>
    </row>
    <row r="98" spans="1:4" x14ac:dyDescent="0.2">
      <c r="A98">
        <v>61</v>
      </c>
      <c r="B98" s="7">
        <v>0.92452577227474997</v>
      </c>
      <c r="C98" s="28">
        <v>8244.5054347170317</v>
      </c>
      <c r="D98" s="28">
        <v>8917.5506859390553</v>
      </c>
    </row>
    <row r="99" spans="1:4" x14ac:dyDescent="0.2">
      <c r="A99">
        <v>62</v>
      </c>
      <c r="B99" s="7">
        <v>1.0975729193148638</v>
      </c>
      <c r="C99" s="28">
        <v>6832.3738994448249</v>
      </c>
      <c r="D99" s="28">
        <v>6224.9840345093307</v>
      </c>
    </row>
    <row r="100" spans="1:4" x14ac:dyDescent="0.2">
      <c r="A100">
        <v>63</v>
      </c>
      <c r="B100" s="7">
        <v>0.4685871222757676</v>
      </c>
      <c r="C100" s="28">
        <v>7651.2120131035326</v>
      </c>
      <c r="D100" s="28">
        <v>16328.25924866268</v>
      </c>
    </row>
    <row r="101" spans="1:4" x14ac:dyDescent="0.2">
      <c r="A101">
        <v>64</v>
      </c>
      <c r="B101" s="7">
        <v>0.97015162717684422</v>
      </c>
      <c r="C101" s="28">
        <v>6878.1097239393985</v>
      </c>
      <c r="D101" s="28">
        <v>7089.7265244555647</v>
      </c>
    </row>
    <row r="102" spans="1:4" x14ac:dyDescent="0.2">
      <c r="A102">
        <v>65</v>
      </c>
      <c r="B102" s="7">
        <v>0.67419672194729685</v>
      </c>
      <c r="C102" s="28">
        <v>7967.5608982612521</v>
      </c>
      <c r="D102" s="28">
        <v>11817.857665116459</v>
      </c>
    </row>
    <row r="103" spans="1:4" x14ac:dyDescent="0.2">
      <c r="A103">
        <v>66</v>
      </c>
      <c r="B103" s="7">
        <v>0.88685169366161709</v>
      </c>
      <c r="C103" s="28">
        <v>7247.9051226964129</v>
      </c>
      <c r="D103" s="28">
        <v>8172.6236466566297</v>
      </c>
    </row>
    <row r="104" spans="1:4" x14ac:dyDescent="0.2">
      <c r="A104">
        <v>67</v>
      </c>
      <c r="B104" s="7">
        <v>1.0658029959845461</v>
      </c>
      <c r="C104" s="28">
        <v>7740.0112773512838</v>
      </c>
      <c r="D104" s="28">
        <v>7262.1406643742557</v>
      </c>
    </row>
    <row r="105" spans="1:4" x14ac:dyDescent="0.2">
      <c r="A105">
        <v>68</v>
      </c>
      <c r="B105" s="7">
        <v>0.98809788898770901</v>
      </c>
      <c r="C105" s="28">
        <v>6035.8236713754177</v>
      </c>
      <c r="D105" s="28">
        <v>6108.5280503524054</v>
      </c>
    </row>
    <row r="106" spans="1:4" x14ac:dyDescent="0.2">
      <c r="A106">
        <v>69</v>
      </c>
      <c r="B106" s="7">
        <v>0.95307559159956767</v>
      </c>
      <c r="C106" s="28">
        <v>8297.6871895763306</v>
      </c>
      <c r="D106" s="28">
        <v>8706.2214820234149</v>
      </c>
    </row>
    <row r="107" spans="1:4" x14ac:dyDescent="0.2">
      <c r="A107">
        <v>70</v>
      </c>
      <c r="B107" s="7">
        <v>0.88165866155513939</v>
      </c>
      <c r="C107" s="28">
        <v>6515.2157540963799</v>
      </c>
      <c r="D107" s="28">
        <v>7389.7257954731895</v>
      </c>
    </row>
    <row r="108" spans="1:4" x14ac:dyDescent="0.2">
      <c r="A108">
        <v>71</v>
      </c>
      <c r="B108" s="7">
        <v>0.880443350269422</v>
      </c>
      <c r="C108" s="28">
        <v>7631.2119313305302</v>
      </c>
      <c r="D108" s="28">
        <v>8667.4650095265351</v>
      </c>
    </row>
    <row r="109" spans="1:4" x14ac:dyDescent="0.2">
      <c r="A109">
        <v>72</v>
      </c>
      <c r="B109" s="7">
        <v>0.91411769570742152</v>
      </c>
      <c r="C109" s="28">
        <v>6424.7803390294648</v>
      </c>
      <c r="D109" s="28">
        <v>7028.3951062312899</v>
      </c>
    </row>
    <row r="110" spans="1:4" x14ac:dyDescent="0.2">
      <c r="A110">
        <v>73</v>
      </c>
      <c r="B110" s="7">
        <v>1.064417930400416</v>
      </c>
      <c r="C110" s="28">
        <v>7807.300043709778</v>
      </c>
      <c r="D110" s="28">
        <v>7334.806959492691</v>
      </c>
    </row>
    <row r="111" spans="1:4" x14ac:dyDescent="0.2">
      <c r="A111">
        <v>74</v>
      </c>
      <c r="B111" s="7">
        <v>0.83805447481370265</v>
      </c>
      <c r="C111" s="28">
        <v>6459.3766416443577</v>
      </c>
      <c r="D111" s="28">
        <v>7707.5856471982452</v>
      </c>
    </row>
    <row r="112" spans="1:4" x14ac:dyDescent="0.2">
      <c r="A112">
        <v>75</v>
      </c>
      <c r="B112" s="35">
        <v>0.56533105882451018</v>
      </c>
      <c r="C112" s="36">
        <v>7687.7113631648836</v>
      </c>
      <c r="D112" s="36">
        <v>13598.600754662057</v>
      </c>
    </row>
    <row r="113" spans="1:4" x14ac:dyDescent="0.2">
      <c r="A113">
        <v>76</v>
      </c>
      <c r="B113" s="7">
        <v>0.80707151292295354</v>
      </c>
      <c r="C113" s="28">
        <v>7685.7244306208031</v>
      </c>
      <c r="D113" s="28">
        <v>9522.9782089391065</v>
      </c>
    </row>
    <row r="114" spans="1:4" x14ac:dyDescent="0.2">
      <c r="A114">
        <v>77</v>
      </c>
      <c r="B114" s="7">
        <v>0.81640363589667597</v>
      </c>
      <c r="C114" s="28">
        <v>6982.2755992167386</v>
      </c>
      <c r="D114" s="28">
        <v>8552.4797933413611</v>
      </c>
    </row>
    <row r="115" spans="1:4" x14ac:dyDescent="0.2">
      <c r="A115">
        <v>78</v>
      </c>
      <c r="B115" s="7">
        <v>0.91483168706636508</v>
      </c>
      <c r="C115" s="28">
        <v>8702.9747830708366</v>
      </c>
      <c r="D115" s="28">
        <v>9513.1977893978346</v>
      </c>
    </row>
    <row r="116" spans="1:4" x14ac:dyDescent="0.2">
      <c r="A116">
        <v>79</v>
      </c>
      <c r="B116" s="35">
        <v>1.0619097459676077</v>
      </c>
      <c r="C116" s="36">
        <v>5673.2355429406834</v>
      </c>
      <c r="D116" s="36">
        <v>5342.4837322415333</v>
      </c>
    </row>
    <row r="117" spans="1:4" x14ac:dyDescent="0.2">
      <c r="A117">
        <v>80</v>
      </c>
      <c r="B117" s="7">
        <v>1.0295986836197351</v>
      </c>
      <c r="C117" s="28">
        <v>9169.3856310493793</v>
      </c>
      <c r="D117" s="28">
        <v>8905.7860862960642</v>
      </c>
    </row>
    <row r="118" spans="1:4" x14ac:dyDescent="0.2">
      <c r="A118">
        <v>81</v>
      </c>
      <c r="B118" s="7">
        <v>0.76470879973064143</v>
      </c>
      <c r="C118" s="28">
        <v>7580.8466998162166</v>
      </c>
      <c r="D118" s="28">
        <v>9913.3770952896975</v>
      </c>
    </row>
    <row r="119" spans="1:4" x14ac:dyDescent="0.2">
      <c r="A119">
        <v>82</v>
      </c>
      <c r="B119" s="7">
        <v>0.66137437760032647</v>
      </c>
      <c r="C119" s="28">
        <v>7495.396613233459</v>
      </c>
      <c r="D119" s="28">
        <v>11333.061677455826</v>
      </c>
    </row>
    <row r="120" spans="1:4" x14ac:dyDescent="0.2">
      <c r="A120">
        <v>83</v>
      </c>
      <c r="B120" s="7">
        <v>0.63978642545584208</v>
      </c>
      <c r="C120" s="28">
        <v>7149.8920162948707</v>
      </c>
      <c r="D120" s="28">
        <v>11175.435632602923</v>
      </c>
    </row>
    <row r="121" spans="1:4" x14ac:dyDescent="0.2">
      <c r="A121">
        <v>84</v>
      </c>
      <c r="B121" s="7">
        <v>0.55604003209409036</v>
      </c>
      <c r="C121" s="28">
        <v>7564.9719082707743</v>
      </c>
      <c r="D121" s="28">
        <v>13605.0850147974</v>
      </c>
    </row>
    <row r="122" spans="1:4" x14ac:dyDescent="0.2">
      <c r="A122">
        <v>85</v>
      </c>
      <c r="B122" s="7">
        <v>0.97092461638245009</v>
      </c>
      <c r="C122" s="28">
        <v>5019.7806556370742</v>
      </c>
      <c r="D122" s="28">
        <v>5170.1033951947593</v>
      </c>
    </row>
    <row r="123" spans="1:4" x14ac:dyDescent="0.2">
      <c r="A123">
        <v>86</v>
      </c>
      <c r="B123" s="7">
        <v>0.78567106466066328</v>
      </c>
      <c r="C123" s="28">
        <v>7082.9086244047794</v>
      </c>
      <c r="D123" s="28">
        <v>9015.1068850472893</v>
      </c>
    </row>
    <row r="124" spans="1:4" x14ac:dyDescent="0.2">
      <c r="A124">
        <v>87</v>
      </c>
      <c r="B124" s="7">
        <v>1.0166477866738814</v>
      </c>
      <c r="C124" s="28">
        <v>6844.8134189950797</v>
      </c>
      <c r="D124" s="28">
        <v>6732.7283929756368</v>
      </c>
    </row>
    <row r="125" spans="1:4" x14ac:dyDescent="0.2">
      <c r="A125">
        <v>88</v>
      </c>
      <c r="B125" s="7">
        <v>0.87583359865335275</v>
      </c>
      <c r="C125" s="28">
        <v>7043.9553784327181</v>
      </c>
      <c r="D125" s="28">
        <v>8042.572686482029</v>
      </c>
    </row>
    <row r="126" spans="1:4" x14ac:dyDescent="0.2">
      <c r="A126">
        <v>89</v>
      </c>
      <c r="B126" s="7">
        <v>0.79208069722477958</v>
      </c>
      <c r="C126" s="28">
        <v>6963.127740215019</v>
      </c>
      <c r="D126" s="28">
        <v>8790.9322429037766</v>
      </c>
    </row>
    <row r="127" spans="1:4" x14ac:dyDescent="0.2">
      <c r="A127">
        <v>90</v>
      </c>
      <c r="B127" s="7">
        <v>0.87017282588034828</v>
      </c>
      <c r="C127" s="28">
        <v>6222.3568950432782</v>
      </c>
      <c r="D127" s="28">
        <v>7150.7138696823349</v>
      </c>
    </row>
    <row r="128" spans="1:4" x14ac:dyDescent="0.2">
      <c r="A128">
        <v>91</v>
      </c>
      <c r="B128" s="7">
        <v>1.0984623371084767</v>
      </c>
      <c r="C128" s="28">
        <v>7357.9536956593201</v>
      </c>
      <c r="D128" s="28">
        <v>6698.4123597973648</v>
      </c>
    </row>
    <row r="129" spans="1:4" x14ac:dyDescent="0.2">
      <c r="A129">
        <v>92</v>
      </c>
      <c r="B129" s="7">
        <v>0.76369505962149553</v>
      </c>
      <c r="C129" s="28">
        <v>7001.7159211392245</v>
      </c>
      <c r="D129" s="28">
        <v>9168.2090029617739</v>
      </c>
    </row>
    <row r="130" spans="1:4" x14ac:dyDescent="0.2">
      <c r="A130">
        <v>93</v>
      </c>
      <c r="B130" s="7">
        <v>0.62683744372339056</v>
      </c>
      <c r="C130" s="28">
        <v>5498.3077379937458</v>
      </c>
      <c r="D130" s="28">
        <v>8771.5049460574774</v>
      </c>
    </row>
    <row r="131" spans="1:4" x14ac:dyDescent="0.2">
      <c r="A131">
        <v>94</v>
      </c>
      <c r="B131" s="7">
        <v>0.80492848948188822</v>
      </c>
      <c r="C131" s="28">
        <v>7222.2597099630566</v>
      </c>
      <c r="D131" s="28">
        <v>8972.5482503567982</v>
      </c>
    </row>
    <row r="132" spans="1:4" x14ac:dyDescent="0.2">
      <c r="A132">
        <v>95</v>
      </c>
      <c r="B132" s="7">
        <v>0.70284701929059867</v>
      </c>
      <c r="C132" s="28">
        <v>6729.5230994276999</v>
      </c>
      <c r="D132" s="28">
        <v>9574.662643116817</v>
      </c>
    </row>
    <row r="133" spans="1:4" x14ac:dyDescent="0.2">
      <c r="A133">
        <v>96</v>
      </c>
      <c r="B133" s="7">
        <v>0.85416536216646399</v>
      </c>
      <c r="C133" s="28">
        <v>7010.3030839310522</v>
      </c>
      <c r="D133" s="28">
        <v>8207.1966324535297</v>
      </c>
    </row>
    <row r="134" spans="1:4" x14ac:dyDescent="0.2">
      <c r="A134">
        <v>97</v>
      </c>
      <c r="B134" s="7">
        <v>0.86909368908887075</v>
      </c>
      <c r="C134" s="28">
        <v>7938.7296799495107</v>
      </c>
      <c r="D134" s="28">
        <v>9134.4923793799644</v>
      </c>
    </row>
    <row r="135" spans="1:4" x14ac:dyDescent="0.2">
      <c r="A135">
        <v>98</v>
      </c>
      <c r="B135" s="7">
        <v>0.82807891096142416</v>
      </c>
      <c r="C135" s="28">
        <v>7509.2307467190585</v>
      </c>
      <c r="D135" s="28">
        <v>9068.2550265657883</v>
      </c>
    </row>
    <row r="136" spans="1:4" x14ac:dyDescent="0.2">
      <c r="A136">
        <v>99</v>
      </c>
      <c r="B136" s="7">
        <v>0.73241873489646103</v>
      </c>
      <c r="C136" s="28">
        <v>5614.4251484691076</v>
      </c>
      <c r="D136" s="28">
        <v>7665.594667322096</v>
      </c>
    </row>
    <row r="137" spans="1:4" x14ac:dyDescent="0.2">
      <c r="A137">
        <v>100</v>
      </c>
      <c r="B137" s="7">
        <v>0.70442407533828799</v>
      </c>
      <c r="C137" s="28">
        <v>7375.754458037165</v>
      </c>
      <c r="D137" s="28">
        <v>10470.616658715251</v>
      </c>
    </row>
    <row r="138" spans="1:4" x14ac:dyDescent="0.2">
      <c r="A138">
        <v>101</v>
      </c>
      <c r="B138" s="7">
        <v>0.79861481866253037</v>
      </c>
      <c r="C138" s="28">
        <v>4855.5737130957023</v>
      </c>
      <c r="D138" s="28">
        <v>6079.9945100286395</v>
      </c>
    </row>
    <row r="139" spans="1:4" x14ac:dyDescent="0.2">
      <c r="A139">
        <v>102</v>
      </c>
      <c r="B139" s="7">
        <v>0.98971702952558882</v>
      </c>
      <c r="C139" s="28">
        <v>8113.3640167939629</v>
      </c>
      <c r="D139" s="28">
        <v>8197.6603157803856</v>
      </c>
    </row>
    <row r="140" spans="1:4" x14ac:dyDescent="0.2">
      <c r="A140">
        <v>103</v>
      </c>
      <c r="B140" s="7">
        <v>0.80257858628889256</v>
      </c>
      <c r="C140" s="28">
        <v>5551.9645419488679</v>
      </c>
      <c r="D140" s="28">
        <v>6917.6584533871528</v>
      </c>
    </row>
    <row r="141" spans="1:4" x14ac:dyDescent="0.2">
      <c r="A141">
        <v>104</v>
      </c>
      <c r="B141" s="7">
        <v>0.79517712731868162</v>
      </c>
      <c r="C141" s="28">
        <v>6319.981127649693</v>
      </c>
      <c r="D141" s="28">
        <v>7947.8909924893323</v>
      </c>
    </row>
    <row r="142" spans="1:4" x14ac:dyDescent="0.2">
      <c r="A142">
        <v>105</v>
      </c>
      <c r="B142" s="7">
        <v>0.75095736072054908</v>
      </c>
      <c r="C142" s="28">
        <v>5926.0200795013407</v>
      </c>
      <c r="D142" s="28">
        <v>7891.2870283544207</v>
      </c>
    </row>
    <row r="143" spans="1:4" x14ac:dyDescent="0.2">
      <c r="A143">
        <v>106</v>
      </c>
      <c r="B143" s="7">
        <v>0.83327500040880231</v>
      </c>
      <c r="C143" s="28">
        <v>6813.4645262907561</v>
      </c>
      <c r="D143" s="28">
        <v>8176.7297986236117</v>
      </c>
    </row>
    <row r="144" spans="1:4" x14ac:dyDescent="0.2">
      <c r="A144">
        <v>107</v>
      </c>
      <c r="B144" s="7">
        <v>0.90846420199558953</v>
      </c>
      <c r="C144" s="28">
        <v>6759.6140012061405</v>
      </c>
      <c r="D144" s="28">
        <v>7440.7048581083855</v>
      </c>
    </row>
    <row r="145" spans="1:4" x14ac:dyDescent="0.2">
      <c r="A145">
        <v>108</v>
      </c>
      <c r="B145" s="7">
        <v>1.2237561673683865</v>
      </c>
      <c r="C145" s="28">
        <v>7425.0999323359229</v>
      </c>
      <c r="D145" s="28">
        <v>6067.4668126928837</v>
      </c>
    </row>
    <row r="146" spans="1:4" x14ac:dyDescent="0.2">
      <c r="A146">
        <v>109</v>
      </c>
      <c r="B146" s="7">
        <v>0.75911560010166301</v>
      </c>
      <c r="C146" s="28">
        <v>5666.4726889791727</v>
      </c>
      <c r="D146" s="28">
        <v>7464.5715200956247</v>
      </c>
    </row>
    <row r="147" spans="1:4" x14ac:dyDescent="0.2">
      <c r="A147">
        <v>110</v>
      </c>
      <c r="B147" s="7">
        <v>0.75344718742522243</v>
      </c>
      <c r="C147" s="28">
        <v>4915.2072381252892</v>
      </c>
      <c r="D147" s="28">
        <v>6523.6254380644432</v>
      </c>
    </row>
    <row r="148" spans="1:4" x14ac:dyDescent="0.2">
      <c r="A148">
        <v>111</v>
      </c>
      <c r="B148" s="7">
        <v>0.7979260395605845</v>
      </c>
      <c r="C148" s="28">
        <v>6678.1114856490785</v>
      </c>
      <c r="D148" s="28">
        <v>8369.336447932812</v>
      </c>
    </row>
    <row r="149" spans="1:4" x14ac:dyDescent="0.2">
      <c r="A149">
        <v>112</v>
      </c>
      <c r="B149" s="7">
        <v>0.83001732581929577</v>
      </c>
      <c r="C149" s="28">
        <v>7273.6454341431163</v>
      </c>
      <c r="D149" s="28">
        <v>8763.2453057090424</v>
      </c>
    </row>
    <row r="150" spans="1:4" x14ac:dyDescent="0.2">
      <c r="A150">
        <v>113</v>
      </c>
      <c r="B150" s="7">
        <v>0.78913182001603488</v>
      </c>
      <c r="C150" s="28">
        <v>7371.6618844200766</v>
      </c>
      <c r="D150" s="28">
        <v>9341.4835106640203</v>
      </c>
    </row>
    <row r="151" spans="1:4" x14ac:dyDescent="0.2">
      <c r="A151">
        <v>114</v>
      </c>
      <c r="B151" s="7">
        <v>0.70134575659145959</v>
      </c>
      <c r="C151" s="28">
        <v>4562.4445186016947</v>
      </c>
      <c r="D151" s="28">
        <v>6505.2714381208707</v>
      </c>
    </row>
    <row r="152" spans="1:4" x14ac:dyDescent="0.2">
      <c r="A152">
        <v>115</v>
      </c>
      <c r="B152" s="7">
        <v>0.90470264735924832</v>
      </c>
      <c r="C152" s="28">
        <v>6834.3956488143849</v>
      </c>
      <c r="D152" s="28">
        <v>7554.3004862021971</v>
      </c>
    </row>
    <row r="153" spans="1:4" x14ac:dyDescent="0.2">
      <c r="A153">
        <v>116</v>
      </c>
      <c r="B153" s="7">
        <v>0.65777555234497065</v>
      </c>
      <c r="C153" s="28">
        <v>7899.2795219586205</v>
      </c>
      <c r="D153" s="28">
        <v>12009.080443621961</v>
      </c>
    </row>
    <row r="154" spans="1:4" x14ac:dyDescent="0.2">
      <c r="A154">
        <v>117</v>
      </c>
      <c r="B154" s="7">
        <v>0.77943736274693798</v>
      </c>
      <c r="C154" s="28">
        <v>5592.8700111802773</v>
      </c>
      <c r="D154" s="28">
        <v>7175.5220861745238</v>
      </c>
    </row>
    <row r="155" spans="1:4" x14ac:dyDescent="0.2">
      <c r="A155">
        <v>118</v>
      </c>
      <c r="B155" s="7">
        <v>0.70381494082912344</v>
      </c>
      <c r="C155" s="28">
        <v>4982.7732292751243</v>
      </c>
      <c r="D155" s="28">
        <v>7079.6639005776278</v>
      </c>
    </row>
    <row r="156" spans="1:4" x14ac:dyDescent="0.2">
      <c r="A156">
        <v>119</v>
      </c>
      <c r="B156" s="7">
        <v>0.87408384789387483</v>
      </c>
      <c r="C156" s="28">
        <v>6989.7791058512084</v>
      </c>
      <c r="D156" s="28">
        <v>7996.691762115548</v>
      </c>
    </row>
    <row r="157" spans="1:4" x14ac:dyDescent="0.2">
      <c r="A157">
        <v>120</v>
      </c>
      <c r="B157" s="7">
        <v>0.85090006269065377</v>
      </c>
      <c r="C157" s="28">
        <v>5559.8258549327384</v>
      </c>
      <c r="D157" s="28">
        <v>6534.0527033831268</v>
      </c>
    </row>
    <row r="158" spans="1:4" x14ac:dyDescent="0.2">
      <c r="A158">
        <v>121</v>
      </c>
      <c r="B158" s="35">
        <v>0.6455500261300493</v>
      </c>
      <c r="C158" s="36">
        <v>7296.8216306042823</v>
      </c>
      <c r="D158" s="36">
        <v>11303.262853767279</v>
      </c>
    </row>
    <row r="159" spans="1:4" x14ac:dyDescent="0.2">
      <c r="A159">
        <v>122</v>
      </c>
      <c r="B159" s="7">
        <v>0.64813797032994191</v>
      </c>
      <c r="C159" s="28">
        <v>6646.3340696542455</v>
      </c>
      <c r="D159" s="28">
        <v>10254.505018847845</v>
      </c>
    </row>
    <row r="160" spans="1:4" x14ac:dyDescent="0.2">
      <c r="A160">
        <v>123</v>
      </c>
      <c r="B160" s="7">
        <v>1.0741400915439021</v>
      </c>
      <c r="C160" s="28">
        <v>7302.5779421037896</v>
      </c>
      <c r="D160" s="28">
        <v>6798.534008359672</v>
      </c>
    </row>
    <row r="161" spans="1:4" x14ac:dyDescent="0.2">
      <c r="A161">
        <v>124</v>
      </c>
      <c r="B161" s="35">
        <v>0.87518256194387956</v>
      </c>
      <c r="C161" s="36">
        <v>6131.3478822491979</v>
      </c>
      <c r="D161" s="36">
        <v>7005.7930183512572</v>
      </c>
    </row>
    <row r="162" spans="1:4" x14ac:dyDescent="0.2">
      <c r="A162">
        <v>125</v>
      </c>
      <c r="B162" s="7">
        <v>0.86203397752312405</v>
      </c>
      <c r="C162" s="28">
        <v>5412.1112055409449</v>
      </c>
      <c r="D162" s="28">
        <v>6278.303810125356</v>
      </c>
    </row>
    <row r="163" spans="1:4" x14ac:dyDescent="0.2">
      <c r="A163">
        <v>126</v>
      </c>
      <c r="B163" s="7">
        <v>0.60529220048633015</v>
      </c>
      <c r="C163" s="28">
        <v>9183.0783543410544</v>
      </c>
      <c r="D163" s="28">
        <v>15171.314527037994</v>
      </c>
    </row>
    <row r="164" spans="1:4" x14ac:dyDescent="0.2">
      <c r="A164">
        <v>127</v>
      </c>
      <c r="B164" s="7">
        <v>1.068802818985751</v>
      </c>
      <c r="C164" s="28">
        <v>4584.7480268691252</v>
      </c>
      <c r="D164" s="28">
        <v>4289.6107171759322</v>
      </c>
    </row>
    <row r="165" spans="1:4" x14ac:dyDescent="0.2">
      <c r="A165">
        <v>128</v>
      </c>
      <c r="B165" s="7">
        <v>0.66780780214272895</v>
      </c>
      <c r="C165" s="28">
        <v>5278.2022531467919</v>
      </c>
      <c r="D165" s="28">
        <v>7903.7744635674298</v>
      </c>
    </row>
    <row r="166" spans="1:4" x14ac:dyDescent="0.2">
      <c r="A166">
        <v>129</v>
      </c>
      <c r="B166" s="7">
        <v>0.67649311727172723</v>
      </c>
      <c r="C166" s="28">
        <v>8230.2491431382005</v>
      </c>
      <c r="D166" s="28">
        <v>12166.050079460532</v>
      </c>
    </row>
    <row r="167" spans="1:4" x14ac:dyDescent="0.2">
      <c r="A167">
        <v>130</v>
      </c>
      <c r="B167" s="7">
        <v>0.78811091661974686</v>
      </c>
      <c r="C167" s="28">
        <v>9820.3617420334031</v>
      </c>
      <c r="D167" s="28">
        <v>12460.634074393362</v>
      </c>
    </row>
    <row r="168" spans="1:4" x14ac:dyDescent="0.2">
      <c r="A168">
        <v>131</v>
      </c>
      <c r="B168" s="7">
        <v>0.72122188079591787</v>
      </c>
      <c r="C168" s="28">
        <v>7802.0209743916294</v>
      </c>
      <c r="D168" s="28">
        <v>10817.781853458971</v>
      </c>
    </row>
    <row r="169" spans="1:4" x14ac:dyDescent="0.2">
      <c r="A169">
        <v>132</v>
      </c>
      <c r="B169" s="7">
        <v>0.9529901558873064</v>
      </c>
      <c r="C169" s="28">
        <v>6225.4482868126797</v>
      </c>
      <c r="D169" s="28">
        <v>6532.5420712413479</v>
      </c>
    </row>
    <row r="170" spans="1:4" x14ac:dyDescent="0.2">
      <c r="A170">
        <v>133</v>
      </c>
      <c r="B170" s="7">
        <v>0.73993049049891635</v>
      </c>
      <c r="C170" s="28">
        <v>7239.3859854230031</v>
      </c>
      <c r="D170" s="28">
        <v>9783.87305075328</v>
      </c>
    </row>
    <row r="171" spans="1:4" x14ac:dyDescent="0.2">
      <c r="A171">
        <v>134</v>
      </c>
      <c r="B171" s="7">
        <v>0.74357637632148244</v>
      </c>
      <c r="C171" s="28">
        <v>7966.5218689494804</v>
      </c>
      <c r="D171" s="28">
        <v>10713.790973780458</v>
      </c>
    </row>
    <row r="172" spans="1:4" x14ac:dyDescent="0.2">
      <c r="A172">
        <v>135</v>
      </c>
      <c r="B172" s="7">
        <v>0.67831707003401309</v>
      </c>
      <c r="C172" s="28">
        <v>6838.068383098398</v>
      </c>
      <c r="D172" s="28">
        <v>10080.932185232365</v>
      </c>
    </row>
    <row r="173" spans="1:4" x14ac:dyDescent="0.2">
      <c r="A173">
        <v>136</v>
      </c>
      <c r="B173" s="7">
        <v>1.1827376284852891</v>
      </c>
      <c r="C173" s="28">
        <v>5599.5276596534495</v>
      </c>
      <c r="D173" s="28">
        <v>4734.3785509087629</v>
      </c>
    </row>
    <row r="174" spans="1:4" x14ac:dyDescent="0.2">
      <c r="A174">
        <v>137</v>
      </c>
      <c r="B174" s="7">
        <v>0.85631229120375707</v>
      </c>
      <c r="C174" s="28">
        <v>7208.8294844195407</v>
      </c>
      <c r="D174" s="28">
        <v>8418.4584975251983</v>
      </c>
    </row>
    <row r="175" spans="1:4" x14ac:dyDescent="0.2">
      <c r="A175">
        <v>138</v>
      </c>
      <c r="B175" s="7">
        <v>0.64635843378664326</v>
      </c>
      <c r="C175" s="28">
        <v>7579.923926919384</v>
      </c>
      <c r="D175" s="28">
        <v>11727.121563979537</v>
      </c>
    </row>
    <row r="176" spans="1:4" x14ac:dyDescent="0.2">
      <c r="A176">
        <v>139</v>
      </c>
      <c r="B176" s="7">
        <v>1.0426580969878767</v>
      </c>
      <c r="C176" s="28">
        <v>7953.3934426745764</v>
      </c>
      <c r="D176" s="28">
        <v>7627.9975819983993</v>
      </c>
    </row>
    <row r="177" spans="1:4" x14ac:dyDescent="0.2">
      <c r="A177">
        <v>140</v>
      </c>
      <c r="B177" s="7">
        <v>0.8695443257138713</v>
      </c>
      <c r="C177" s="28">
        <v>6982.3354127942985</v>
      </c>
      <c r="D177" s="28">
        <v>8029.8786459931171</v>
      </c>
    </row>
    <row r="178" spans="1:4" x14ac:dyDescent="0.2">
      <c r="A178">
        <v>141</v>
      </c>
      <c r="B178" s="7">
        <v>0.79872756256189881</v>
      </c>
      <c r="C178" s="28">
        <v>5886.5063328876622</v>
      </c>
      <c r="D178" s="28">
        <v>7369.8550154032991</v>
      </c>
    </row>
    <row r="179" spans="1:4" x14ac:dyDescent="0.2">
      <c r="A179">
        <v>142</v>
      </c>
      <c r="B179" s="7">
        <v>0.77963151907041706</v>
      </c>
      <c r="C179" s="28">
        <v>7217.2342239802529</v>
      </c>
      <c r="D179" s="28">
        <v>9257.2376147460309</v>
      </c>
    </row>
    <row r="180" spans="1:4" x14ac:dyDescent="0.2">
      <c r="A180">
        <v>143</v>
      </c>
      <c r="B180" s="7">
        <v>1.0106751358688513</v>
      </c>
      <c r="C180" s="28">
        <v>8250.5159542784277</v>
      </c>
      <c r="D180" s="28">
        <v>8163.3708611874308</v>
      </c>
    </row>
    <row r="181" spans="1:4" x14ac:dyDescent="0.2">
      <c r="A181">
        <v>144</v>
      </c>
      <c r="B181" s="7">
        <v>0.84056111369559261</v>
      </c>
      <c r="C181" s="28">
        <v>6020.7590949332771</v>
      </c>
      <c r="D181" s="28">
        <v>7162.7856640459368</v>
      </c>
    </row>
    <row r="182" spans="1:4" x14ac:dyDescent="0.2">
      <c r="A182">
        <v>145</v>
      </c>
      <c r="B182" s="7">
        <v>0.84197397056984791</v>
      </c>
      <c r="C182" s="28">
        <v>7046.888469426136</v>
      </c>
      <c r="D182" s="28">
        <v>8369.4849434084081</v>
      </c>
    </row>
    <row r="183" spans="1:4" x14ac:dyDescent="0.2">
      <c r="A183">
        <v>146</v>
      </c>
      <c r="B183" s="7">
        <v>0.75314504830205742</v>
      </c>
      <c r="C183" s="28">
        <v>7914.4009186010298</v>
      </c>
      <c r="D183" s="28">
        <v>10508.46837065955</v>
      </c>
    </row>
    <row r="184" spans="1:4" x14ac:dyDescent="0.2">
      <c r="A184">
        <v>147</v>
      </c>
      <c r="B184" s="7">
        <v>1.1960647728425817</v>
      </c>
      <c r="C184" s="28">
        <v>7741.1783529948207</v>
      </c>
      <c r="D184" s="28">
        <v>6472.2066302454878</v>
      </c>
    </row>
    <row r="185" spans="1:4" x14ac:dyDescent="0.2">
      <c r="A185">
        <v>148</v>
      </c>
      <c r="B185" s="7">
        <v>0.73133859198845919</v>
      </c>
      <c r="C185" s="28">
        <v>7259.1352318019581</v>
      </c>
      <c r="D185" s="28">
        <v>9925.8200118564364</v>
      </c>
    </row>
    <row r="186" spans="1:4" x14ac:dyDescent="0.2">
      <c r="A186">
        <v>149</v>
      </c>
      <c r="B186" s="7">
        <v>1.0823196496256866</v>
      </c>
      <c r="C186" s="28">
        <v>7314.8787681570684</v>
      </c>
      <c r="D186" s="28">
        <v>6758.5197872799154</v>
      </c>
    </row>
    <row r="187" spans="1:4" x14ac:dyDescent="0.2">
      <c r="A187">
        <v>150</v>
      </c>
      <c r="B187" s="7">
        <v>1.0471203421527244</v>
      </c>
      <c r="C187" s="28">
        <v>7061.3424743442774</v>
      </c>
      <c r="D187" s="28">
        <v>6743.5825569267454</v>
      </c>
    </row>
    <row r="188" spans="1:4" x14ac:dyDescent="0.2">
      <c r="A188">
        <v>151</v>
      </c>
      <c r="B188" s="7">
        <v>0.63984346807751713</v>
      </c>
      <c r="C188" s="28">
        <v>7726.49595584087</v>
      </c>
      <c r="D188" s="28">
        <v>12075.603395711783</v>
      </c>
    </row>
    <row r="189" spans="1:4" x14ac:dyDescent="0.2">
      <c r="A189">
        <v>152</v>
      </c>
      <c r="B189" s="7">
        <v>0.79148864897694349</v>
      </c>
      <c r="C189" s="28">
        <v>4811.360517266914</v>
      </c>
      <c r="D189" s="28">
        <v>6078.8749446829679</v>
      </c>
    </row>
    <row r="190" spans="1:4" x14ac:dyDescent="0.2">
      <c r="A190">
        <v>153</v>
      </c>
      <c r="B190" s="7">
        <v>0.83315506714119625</v>
      </c>
      <c r="C190" s="28">
        <v>6718.0091244178911</v>
      </c>
      <c r="D190" s="28">
        <v>8063.335853515704</v>
      </c>
    </row>
    <row r="191" spans="1:4" x14ac:dyDescent="0.2">
      <c r="A191">
        <v>154</v>
      </c>
      <c r="B191" s="7">
        <v>0.76345891035862579</v>
      </c>
      <c r="C191" s="28">
        <v>8827.5083512246674</v>
      </c>
      <c r="D191" s="28">
        <v>11562.519254740311</v>
      </c>
    </row>
    <row r="192" spans="1:4" x14ac:dyDescent="0.2">
      <c r="A192">
        <v>155</v>
      </c>
      <c r="B192" s="7">
        <v>0.87394419656914479</v>
      </c>
      <c r="C192" s="28">
        <v>7065.4307057325441</v>
      </c>
      <c r="D192" s="28">
        <v>8084.5330096239622</v>
      </c>
    </row>
    <row r="193" spans="1:4" x14ac:dyDescent="0.2">
      <c r="A193">
        <v>156</v>
      </c>
      <c r="B193" s="7">
        <v>0.79370266453207083</v>
      </c>
      <c r="C193" s="28">
        <v>6747.2670423758154</v>
      </c>
      <c r="D193" s="28">
        <v>8501.0008708408222</v>
      </c>
    </row>
    <row r="194" spans="1:4" x14ac:dyDescent="0.2">
      <c r="A194">
        <v>157</v>
      </c>
      <c r="B194" s="7">
        <v>1.1259546275229759</v>
      </c>
      <c r="C194" s="28">
        <v>7632.2860942387015</v>
      </c>
      <c r="D194" s="28">
        <v>6778.5023549565358</v>
      </c>
    </row>
    <row r="195" spans="1:4" x14ac:dyDescent="0.2">
      <c r="A195">
        <v>158</v>
      </c>
      <c r="B195" s="7">
        <v>0.84834722043303223</v>
      </c>
      <c r="C195" s="28">
        <v>6078.0993574974473</v>
      </c>
      <c r="D195" s="28">
        <v>7164.6363789521565</v>
      </c>
    </row>
    <row r="196" spans="1:4" x14ac:dyDescent="0.2">
      <c r="A196">
        <v>159</v>
      </c>
      <c r="B196" s="7">
        <v>0.82403654090541867</v>
      </c>
      <c r="C196" s="28">
        <v>5624.4933240413156</v>
      </c>
      <c r="D196" s="28">
        <v>6825.5387289759574</v>
      </c>
    </row>
    <row r="197" spans="1:4" x14ac:dyDescent="0.2">
      <c r="A197">
        <v>160</v>
      </c>
      <c r="B197" s="7">
        <v>0.78929340042584428</v>
      </c>
      <c r="C197" s="28">
        <v>7746.2062939169373</v>
      </c>
      <c r="D197" s="28">
        <v>9814.1024487695668</v>
      </c>
    </row>
    <row r="198" spans="1:4" x14ac:dyDescent="0.2">
      <c r="A198">
        <v>161</v>
      </c>
      <c r="B198" s="7">
        <v>0.76060079894770283</v>
      </c>
      <c r="C198" s="28">
        <v>5937.3788701201283</v>
      </c>
      <c r="D198" s="28">
        <v>7806.169646856194</v>
      </c>
    </row>
    <row r="199" spans="1:4" x14ac:dyDescent="0.2">
      <c r="A199">
        <v>162</v>
      </c>
      <c r="B199" s="7">
        <v>0.618553306801509</v>
      </c>
      <c r="C199" s="28">
        <v>5826.534128626301</v>
      </c>
      <c r="D199" s="28">
        <v>9419.6151965541267</v>
      </c>
    </row>
    <row r="200" spans="1:4" x14ac:dyDescent="0.2">
      <c r="A200">
        <v>163</v>
      </c>
      <c r="B200" s="7">
        <v>0.84209536674691687</v>
      </c>
      <c r="C200" s="28">
        <v>6760.1327330372569</v>
      </c>
      <c r="D200" s="28">
        <v>8027.7519625267641</v>
      </c>
    </row>
    <row r="201" spans="1:4" x14ac:dyDescent="0.2">
      <c r="A201">
        <v>164</v>
      </c>
      <c r="B201" s="7">
        <v>0.79155628856039684</v>
      </c>
      <c r="C201" s="28">
        <v>7173.93747792045</v>
      </c>
      <c r="D201" s="28">
        <v>9063.0793812120264</v>
      </c>
    </row>
    <row r="202" spans="1:4" x14ac:dyDescent="0.2">
      <c r="A202">
        <v>165</v>
      </c>
      <c r="B202" s="7">
        <v>0.8326860903831852</v>
      </c>
      <c r="C202" s="28">
        <v>6935.3823356002467</v>
      </c>
      <c r="D202" s="28">
        <v>8328.9278104894547</v>
      </c>
    </row>
    <row r="203" spans="1:4" x14ac:dyDescent="0.2">
      <c r="A203">
        <v>166</v>
      </c>
      <c r="B203" s="7">
        <v>1.0967150592716184</v>
      </c>
      <c r="C203" s="28">
        <v>6798.5502692653172</v>
      </c>
      <c r="D203" s="28">
        <v>6199.012416024053</v>
      </c>
    </row>
    <row r="204" spans="1:4" x14ac:dyDescent="0.2">
      <c r="A204">
        <v>167</v>
      </c>
      <c r="B204" s="7">
        <v>1.0446896569829018</v>
      </c>
      <c r="C204" s="28">
        <v>7115.3958286629731</v>
      </c>
      <c r="D204" s="28">
        <v>6811.0139514661905</v>
      </c>
    </row>
    <row r="205" spans="1:4" x14ac:dyDescent="0.2">
      <c r="A205">
        <v>168</v>
      </c>
      <c r="B205" s="7">
        <v>0.95438392894201929</v>
      </c>
      <c r="C205" s="28">
        <v>7614.5349599817209</v>
      </c>
      <c r="D205" s="28">
        <v>7978.4819600040846</v>
      </c>
    </row>
    <row r="206" spans="1:4" x14ac:dyDescent="0.2">
      <c r="A206">
        <v>169</v>
      </c>
      <c r="B206" s="7">
        <v>0.77733293197955078</v>
      </c>
      <c r="C206" s="28">
        <v>5787.5523969636597</v>
      </c>
      <c r="D206" s="28">
        <v>7445.3971507744027</v>
      </c>
    </row>
    <row r="207" spans="1:4" x14ac:dyDescent="0.2">
      <c r="A207">
        <v>170</v>
      </c>
      <c r="B207" s="7">
        <v>0.8378881734672774</v>
      </c>
      <c r="C207" s="28">
        <v>7271.3326215444358</v>
      </c>
      <c r="D207" s="28">
        <v>8678.165955553266</v>
      </c>
    </row>
    <row r="208" spans="1:4" x14ac:dyDescent="0.2">
      <c r="A208">
        <v>171</v>
      </c>
      <c r="B208" s="7">
        <v>0.66530550311163594</v>
      </c>
      <c r="C208" s="28">
        <v>5944.6098828872582</v>
      </c>
      <c r="D208" s="28">
        <v>8935.1581417623911</v>
      </c>
    </row>
    <row r="209" spans="1:4" x14ac:dyDescent="0.2">
      <c r="A209">
        <v>172</v>
      </c>
      <c r="B209" s="7">
        <v>0.87885662545256693</v>
      </c>
      <c r="C209" s="28">
        <v>8100.9540941953946</v>
      </c>
      <c r="D209" s="28">
        <v>9217.605988944797</v>
      </c>
    </row>
    <row r="210" spans="1:4" x14ac:dyDescent="0.2">
      <c r="A210">
        <v>173</v>
      </c>
      <c r="B210" s="7">
        <v>0.81055020862717697</v>
      </c>
      <c r="C210" s="28">
        <v>4563.3346324209888</v>
      </c>
      <c r="D210" s="28">
        <v>5629.9222230167279</v>
      </c>
    </row>
    <row r="211" spans="1:4" x14ac:dyDescent="0.2">
      <c r="A211">
        <v>174</v>
      </c>
      <c r="B211" s="7">
        <v>0.74155635669741304</v>
      </c>
      <c r="C211" s="28">
        <v>7191.7250099291396</v>
      </c>
      <c r="D211" s="28">
        <v>9698.1503091122086</v>
      </c>
    </row>
    <row r="212" spans="1:4" x14ac:dyDescent="0.2">
      <c r="A212">
        <v>175</v>
      </c>
      <c r="B212" s="7">
        <v>0.76579221103125672</v>
      </c>
      <c r="C212" s="28">
        <v>6867.4523283057351</v>
      </c>
      <c r="D212" s="28">
        <v>8967.7751084170159</v>
      </c>
    </row>
    <row r="213" spans="1:4" x14ac:dyDescent="0.2">
      <c r="A213">
        <v>176</v>
      </c>
      <c r="B213" s="7">
        <v>0.70034256600123879</v>
      </c>
      <c r="C213" s="28">
        <v>6530.7699587985608</v>
      </c>
      <c r="D213" s="28">
        <v>9325.1078484168684</v>
      </c>
    </row>
    <row r="214" spans="1:4" x14ac:dyDescent="0.2">
      <c r="A214">
        <v>177</v>
      </c>
      <c r="B214" s="7">
        <v>0.81656043922876442</v>
      </c>
      <c r="C214" s="28">
        <v>7327.5729586839207</v>
      </c>
      <c r="D214" s="28">
        <v>8973.7055662465864</v>
      </c>
    </row>
    <row r="215" spans="1:4" x14ac:dyDescent="0.2">
      <c r="A215">
        <v>178</v>
      </c>
      <c r="B215" s="35">
        <v>0.69158377465628362</v>
      </c>
      <c r="C215" s="36">
        <v>8559.4498696610463</v>
      </c>
      <c r="D215" s="36">
        <v>12376.591503921682</v>
      </c>
    </row>
    <row r="216" spans="1:4" x14ac:dyDescent="0.2">
      <c r="A216">
        <v>179</v>
      </c>
      <c r="B216" s="7">
        <v>0.7094850561778383</v>
      </c>
      <c r="C216" s="28">
        <v>6215.0860094080017</v>
      </c>
      <c r="D216" s="28">
        <v>8759.995655003815</v>
      </c>
    </row>
    <row r="217" spans="1:4" x14ac:dyDescent="0.2">
      <c r="A217">
        <v>180</v>
      </c>
      <c r="B217" s="7">
        <v>0.88938618168935157</v>
      </c>
      <c r="C217" s="28">
        <v>8172.8708067660882</v>
      </c>
      <c r="D217" s="28">
        <v>9189.3386416708927</v>
      </c>
    </row>
    <row r="218" spans="1:4" x14ac:dyDescent="0.2">
      <c r="A218">
        <v>181</v>
      </c>
      <c r="B218" s="35">
        <v>0.79418463936609474</v>
      </c>
      <c r="C218" s="36">
        <v>6060.1163439152151</v>
      </c>
      <c r="D218" s="36">
        <v>7630.6138944619997</v>
      </c>
    </row>
    <row r="219" spans="1:4" x14ac:dyDescent="0.2">
      <c r="A219">
        <v>182</v>
      </c>
      <c r="B219" s="7">
        <v>0.77761045606852441</v>
      </c>
      <c r="C219" s="28">
        <v>6232.3060808104692</v>
      </c>
      <c r="D219" s="28">
        <v>8014.6891443821678</v>
      </c>
    </row>
    <row r="220" spans="1:4" x14ac:dyDescent="0.2">
      <c r="A220">
        <v>183</v>
      </c>
      <c r="B220" s="7">
        <v>0.63620175873264451</v>
      </c>
      <c r="C220" s="28">
        <v>5543.0384243331864</v>
      </c>
      <c r="D220" s="28">
        <v>8712.7052829518761</v>
      </c>
    </row>
    <row r="221" spans="1:4" x14ac:dyDescent="0.2">
      <c r="A221">
        <v>184</v>
      </c>
      <c r="B221" s="7">
        <v>0.8685357708409942</v>
      </c>
      <c r="C221" s="28">
        <v>7526.7564320843303</v>
      </c>
      <c r="D221" s="28">
        <v>8666.0292929515726</v>
      </c>
    </row>
    <row r="222" spans="1:4" x14ac:dyDescent="0.2">
      <c r="A222">
        <v>185</v>
      </c>
      <c r="B222" s="7">
        <v>0.62337981634601203</v>
      </c>
      <c r="C222" s="28">
        <v>6858.6039456717699</v>
      </c>
      <c r="D222" s="28">
        <v>11002.287475192887</v>
      </c>
    </row>
    <row r="223" spans="1:4" x14ac:dyDescent="0.2">
      <c r="A223">
        <v>186</v>
      </c>
      <c r="B223" s="7">
        <v>0.71361323451561098</v>
      </c>
      <c r="C223" s="28">
        <v>9218.3739392742755</v>
      </c>
      <c r="D223" s="28">
        <v>12917.885338171394</v>
      </c>
    </row>
    <row r="224" spans="1:4" x14ac:dyDescent="0.2">
      <c r="A224">
        <v>187</v>
      </c>
      <c r="B224" s="7">
        <v>0.94817316451087663</v>
      </c>
      <c r="C224" s="28">
        <v>6271.1910015567082</v>
      </c>
      <c r="D224" s="28">
        <v>6613.9722534667562</v>
      </c>
    </row>
    <row r="225" spans="1:4" x14ac:dyDescent="0.2">
      <c r="A225">
        <v>188</v>
      </c>
      <c r="B225" s="7">
        <v>0.87163918248690919</v>
      </c>
      <c r="C225" s="28">
        <v>7650.0609557528587</v>
      </c>
      <c r="D225" s="28">
        <v>8776.6372938010409</v>
      </c>
    </row>
    <row r="226" spans="1:4" x14ac:dyDescent="0.2">
      <c r="A226">
        <v>189</v>
      </c>
      <c r="B226" s="7">
        <v>0.90268121110186605</v>
      </c>
      <c r="C226" s="28">
        <v>7549.0848006344295</v>
      </c>
      <c r="D226" s="28">
        <v>8362.9577172871141</v>
      </c>
    </row>
    <row r="227" spans="1:4" x14ac:dyDescent="0.2">
      <c r="A227">
        <v>190</v>
      </c>
      <c r="B227" s="7">
        <v>0.85206615198658486</v>
      </c>
      <c r="C227" s="29">
        <v>7694.9820990370172</v>
      </c>
      <c r="D227" s="28">
        <v>9030.9679372854243</v>
      </c>
    </row>
    <row r="228" spans="1:4" x14ac:dyDescent="0.2">
      <c r="A228">
        <v>191</v>
      </c>
      <c r="B228" s="7">
        <v>0.77690502388634375</v>
      </c>
      <c r="C228" s="28">
        <v>6165.2444079691122</v>
      </c>
      <c r="D228" s="28">
        <v>7935.6474966894384</v>
      </c>
    </row>
    <row r="229" spans="1:4" x14ac:dyDescent="0.2">
      <c r="A229">
        <v>192</v>
      </c>
      <c r="B229" s="7">
        <v>1.1411218391396893</v>
      </c>
      <c r="C229" s="28">
        <v>6614.74127194629</v>
      </c>
      <c r="D229" s="28">
        <v>5796.7002690381014</v>
      </c>
    </row>
    <row r="230" spans="1:4" x14ac:dyDescent="0.2">
      <c r="A230">
        <v>193</v>
      </c>
      <c r="B230" s="35">
        <v>0.97843450890001193</v>
      </c>
      <c r="C230" s="36">
        <v>7925.4236358508588</v>
      </c>
      <c r="D230" s="36">
        <v>8100.1064085125936</v>
      </c>
    </row>
    <row r="231" spans="1:4" x14ac:dyDescent="0.2">
      <c r="A231">
        <v>194</v>
      </c>
      <c r="B231" s="7">
        <v>0.69342177913281944</v>
      </c>
      <c r="C231" s="28">
        <v>7670.9946074084091</v>
      </c>
      <c r="D231" s="28">
        <v>11062.523327435165</v>
      </c>
    </row>
    <row r="232" spans="1:4" x14ac:dyDescent="0.2">
      <c r="A232">
        <v>195</v>
      </c>
      <c r="B232" s="7">
        <v>0.79799445050582296</v>
      </c>
      <c r="C232" s="28">
        <v>6246.2287964056886</v>
      </c>
      <c r="D232" s="28">
        <v>7827.4088152447748</v>
      </c>
    </row>
    <row r="233" spans="1:4" x14ac:dyDescent="0.2">
      <c r="A233">
        <v>196</v>
      </c>
      <c r="B233" s="7">
        <v>0.97993797822224593</v>
      </c>
      <c r="C233" s="28">
        <v>8055.4713822610747</v>
      </c>
      <c r="D233" s="28">
        <v>8220.3890055112515</v>
      </c>
    </row>
    <row r="234" spans="1:4" x14ac:dyDescent="0.2">
      <c r="A234">
        <v>197</v>
      </c>
      <c r="B234" s="7">
        <v>0.7937953338382302</v>
      </c>
      <c r="C234" s="28">
        <v>6650.8616203950605</v>
      </c>
      <c r="D234" s="28">
        <v>8378.5597330690016</v>
      </c>
    </row>
    <row r="235" spans="1:4" x14ac:dyDescent="0.2">
      <c r="A235">
        <v>198</v>
      </c>
      <c r="B235" s="7">
        <v>0.77602184965202703</v>
      </c>
      <c r="C235" s="28">
        <v>7719.7380762561716</v>
      </c>
      <c r="D235" s="28">
        <v>9947.8359787391928</v>
      </c>
    </row>
    <row r="236" spans="1:4" x14ac:dyDescent="0.2">
      <c r="A236">
        <v>199</v>
      </c>
      <c r="B236" s="7">
        <v>0.96880742410527709</v>
      </c>
      <c r="C236" s="28">
        <v>7662.3259720649476</v>
      </c>
      <c r="D236" s="28">
        <v>7909.0289580938515</v>
      </c>
    </row>
    <row r="237" spans="1:4" x14ac:dyDescent="0.2">
      <c r="A237">
        <v>200</v>
      </c>
      <c r="B237" s="7">
        <v>0.58571147434203219</v>
      </c>
      <c r="C237" s="28">
        <v>6816.7093327070097</v>
      </c>
      <c r="D237" s="28">
        <v>11638.340089486317</v>
      </c>
    </row>
    <row r="238" spans="1:4" x14ac:dyDescent="0.2">
      <c r="A238">
        <v>201</v>
      </c>
      <c r="B238" s="7">
        <v>0.97806944410990937</v>
      </c>
      <c r="C238" s="28">
        <v>7949.1249579646556</v>
      </c>
      <c r="D238" s="28">
        <v>8127.3625363061465</v>
      </c>
    </row>
    <row r="239" spans="1:4" x14ac:dyDescent="0.2">
      <c r="A239">
        <v>202</v>
      </c>
      <c r="B239" s="7">
        <v>1.2205363148008157</v>
      </c>
      <c r="C239" s="28">
        <v>7011.6630790995059</v>
      </c>
      <c r="D239" s="28">
        <v>5744.7394182972494</v>
      </c>
    </row>
    <row r="240" spans="1:4" x14ac:dyDescent="0.2">
      <c r="A240">
        <v>203</v>
      </c>
      <c r="B240" s="7">
        <v>0.79471384377633569</v>
      </c>
      <c r="C240" s="28">
        <v>7740.3106204673668</v>
      </c>
      <c r="D240" s="28">
        <v>9739.7455462545076</v>
      </c>
    </row>
    <row r="241" spans="1:4" x14ac:dyDescent="0.2">
      <c r="A241">
        <v>204</v>
      </c>
      <c r="B241" s="7">
        <v>0.65559019614969216</v>
      </c>
      <c r="C241" s="28">
        <v>8098.5393125105329</v>
      </c>
      <c r="D241" s="28">
        <v>12353.051281232671</v>
      </c>
    </row>
    <row r="242" spans="1:4" x14ac:dyDescent="0.2">
      <c r="A242">
        <v>205</v>
      </c>
      <c r="B242" s="7">
        <v>0.53143969307152794</v>
      </c>
      <c r="C242" s="28">
        <v>8081.2624187574274</v>
      </c>
      <c r="D242" s="28">
        <v>15206.358358463352</v>
      </c>
    </row>
    <row r="243" spans="1:4" x14ac:dyDescent="0.2">
      <c r="A243">
        <v>206</v>
      </c>
      <c r="B243" s="7">
        <v>0.93946474276231395</v>
      </c>
      <c r="C243" s="28">
        <v>7227.1464250643858</v>
      </c>
      <c r="D243" s="28">
        <v>7692.8341172382507</v>
      </c>
    </row>
    <row r="244" spans="1:4" x14ac:dyDescent="0.2">
      <c r="A244">
        <v>207</v>
      </c>
      <c r="B244" s="7">
        <v>0.8501025332011114</v>
      </c>
      <c r="C244" s="28">
        <v>7496.4708939099728</v>
      </c>
      <c r="D244" s="28">
        <v>8818.3137929039785</v>
      </c>
    </row>
    <row r="245" spans="1:4" x14ac:dyDescent="0.2">
      <c r="A245">
        <v>208</v>
      </c>
      <c r="B245" s="7">
        <v>0.72504020739835351</v>
      </c>
      <c r="C245" s="28">
        <v>7637.4848586649441</v>
      </c>
      <c r="D245" s="28">
        <v>10533.877681170772</v>
      </c>
    </row>
    <row r="246" spans="1:4" x14ac:dyDescent="0.2">
      <c r="A246">
        <v>209</v>
      </c>
      <c r="B246" s="7">
        <v>0.83066636222669743</v>
      </c>
      <c r="C246" s="28">
        <v>6861.2552261592409</v>
      </c>
      <c r="D246" s="28">
        <v>8259.9411005001475</v>
      </c>
    </row>
    <row r="247" spans="1:4" x14ac:dyDescent="0.2">
      <c r="A247">
        <v>210</v>
      </c>
      <c r="B247" s="7">
        <v>0.83063490259156136</v>
      </c>
      <c r="C247" s="28">
        <v>7195.5117297852958</v>
      </c>
      <c r="D247" s="28">
        <v>8662.6647969348123</v>
      </c>
    </row>
    <row r="248" spans="1:4" x14ac:dyDescent="0.2">
      <c r="A248">
        <v>211</v>
      </c>
      <c r="B248" s="7">
        <v>0.84556351811244745</v>
      </c>
      <c r="C248" s="28">
        <v>7345.1527270627321</v>
      </c>
      <c r="D248" s="28">
        <v>8686.6954045738948</v>
      </c>
    </row>
    <row r="249" spans="1:4" x14ac:dyDescent="0.2">
      <c r="A249">
        <v>212</v>
      </c>
      <c r="B249" s="7">
        <v>0.95403282220553898</v>
      </c>
      <c r="C249" s="28">
        <v>8396.0080499892701</v>
      </c>
      <c r="D249" s="28">
        <v>8800.5442313602234</v>
      </c>
    </row>
    <row r="250" spans="1:4" x14ac:dyDescent="0.2">
      <c r="A250">
        <v>213</v>
      </c>
      <c r="B250" s="7">
        <v>0.94231164872135142</v>
      </c>
      <c r="C250" s="28">
        <v>6695.9188572102703</v>
      </c>
      <c r="D250" s="28">
        <v>7105.8432380583927</v>
      </c>
    </row>
    <row r="251" spans="1:4" x14ac:dyDescent="0.2">
      <c r="A251">
        <v>214</v>
      </c>
      <c r="B251" s="7">
        <v>0.65699980513101242</v>
      </c>
      <c r="C251" s="28">
        <v>7555.5978727869606</v>
      </c>
      <c r="D251" s="28">
        <v>11500.152380228328</v>
      </c>
    </row>
    <row r="252" spans="1:4" x14ac:dyDescent="0.2">
      <c r="A252">
        <v>215</v>
      </c>
      <c r="B252" s="7">
        <v>0.93421606123595602</v>
      </c>
      <c r="C252" s="28">
        <v>8385.698189619754</v>
      </c>
      <c r="D252" s="28">
        <v>8976.1871344039846</v>
      </c>
    </row>
    <row r="253" spans="1:4" x14ac:dyDescent="0.2">
      <c r="A253">
        <v>216</v>
      </c>
      <c r="B253" s="7">
        <v>0.87857139703418596</v>
      </c>
      <c r="C253" s="28">
        <v>7759.6210915660777</v>
      </c>
      <c r="D253" s="28">
        <v>8832.0893643480904</v>
      </c>
    </row>
    <row r="254" spans="1:4" x14ac:dyDescent="0.2">
      <c r="A254">
        <v>217</v>
      </c>
      <c r="B254" s="7">
        <v>0.80941619178095259</v>
      </c>
      <c r="C254" s="28">
        <v>5912.270761912805</v>
      </c>
      <c r="D254" s="28">
        <v>7304.3643331424819</v>
      </c>
    </row>
    <row r="255" spans="1:4" x14ac:dyDescent="0.2">
      <c r="A255">
        <v>218</v>
      </c>
      <c r="B255" s="7">
        <v>1.0527296496875591</v>
      </c>
      <c r="C255" s="28">
        <v>7382.3989041767873</v>
      </c>
      <c r="D255" s="28">
        <v>7012.6256122526975</v>
      </c>
    </row>
    <row r="256" spans="1:4" x14ac:dyDescent="0.2">
      <c r="A256">
        <v>219</v>
      </c>
      <c r="B256" s="7">
        <v>0.69013600186840485</v>
      </c>
      <c r="C256" s="28">
        <v>6703.0425231106801</v>
      </c>
      <c r="D256" s="28">
        <v>9712.6399796033493</v>
      </c>
    </row>
    <row r="257" spans="1:4" x14ac:dyDescent="0.2">
      <c r="A257">
        <v>220</v>
      </c>
      <c r="B257" s="7">
        <v>0.91885229415264202</v>
      </c>
      <c r="C257" s="28">
        <v>6671.1450784098006</v>
      </c>
      <c r="D257" s="28">
        <v>7260.3019232398774</v>
      </c>
    </row>
    <row r="258" spans="1:4" x14ac:dyDescent="0.2">
      <c r="A258">
        <v>221</v>
      </c>
      <c r="B258" s="7">
        <v>1.0302607528816212</v>
      </c>
      <c r="C258" s="28">
        <v>6215.8044637080875</v>
      </c>
      <c r="D258" s="28">
        <v>6033.2342529040261</v>
      </c>
    </row>
    <row r="259" spans="1:4" x14ac:dyDescent="0.2">
      <c r="A259">
        <v>222</v>
      </c>
      <c r="B259" s="7">
        <v>1.2422128391570357</v>
      </c>
      <c r="C259" s="28">
        <v>9455.3227982837561</v>
      </c>
      <c r="D259" s="28">
        <v>7611.6769205993132</v>
      </c>
    </row>
    <row r="260" spans="1:4" x14ac:dyDescent="0.2">
      <c r="A260">
        <v>223</v>
      </c>
      <c r="B260" s="35">
        <v>0.52896160683596882</v>
      </c>
      <c r="C260" s="36">
        <v>8386.381451280824</v>
      </c>
      <c r="D260" s="36">
        <v>15854.423729247033</v>
      </c>
    </row>
    <row r="261" spans="1:4" x14ac:dyDescent="0.2">
      <c r="A261">
        <v>224</v>
      </c>
      <c r="B261" s="7">
        <v>0.76665789513806804</v>
      </c>
      <c r="C261" s="28">
        <v>8162.4674197325967</v>
      </c>
      <c r="D261" s="28">
        <v>10646.818446006626</v>
      </c>
    </row>
    <row r="262" spans="1:4" x14ac:dyDescent="0.2">
      <c r="A262">
        <v>225</v>
      </c>
      <c r="B262" s="7">
        <v>0.75600870680131749</v>
      </c>
      <c r="C262" s="28">
        <v>9726.8305121275607</v>
      </c>
      <c r="D262" s="28">
        <v>12866.029748892583</v>
      </c>
    </row>
    <row r="263" spans="1:4" x14ac:dyDescent="0.2">
      <c r="A263">
        <v>226</v>
      </c>
      <c r="B263" s="7">
        <v>0.89019563869236507</v>
      </c>
      <c r="C263" s="28">
        <v>7139.4744595130887</v>
      </c>
      <c r="D263" s="28">
        <v>8020.1184427284725</v>
      </c>
    </row>
    <row r="264" spans="1:4" x14ac:dyDescent="0.2">
      <c r="A264">
        <v>227</v>
      </c>
      <c r="B264" s="7">
        <v>0.78968942547655807</v>
      </c>
      <c r="C264" s="28">
        <v>6732.6007534906694</v>
      </c>
      <c r="D264" s="28">
        <v>8525.6311358452222</v>
      </c>
    </row>
    <row r="265" spans="1:4" x14ac:dyDescent="0.2">
      <c r="A265">
        <v>228</v>
      </c>
      <c r="B265" s="7">
        <v>0.99997316307524819</v>
      </c>
      <c r="C265" s="28">
        <v>7975.2135781950856</v>
      </c>
      <c r="D265" s="28">
        <v>7975.4276141458295</v>
      </c>
    </row>
    <row r="266" spans="1:4" x14ac:dyDescent="0.2">
      <c r="A266">
        <v>229</v>
      </c>
      <c r="B266" s="7">
        <v>0.83496830752994455</v>
      </c>
      <c r="C266" s="28">
        <v>4888.5780496830721</v>
      </c>
      <c r="D266" s="28">
        <v>5854.8067101430106</v>
      </c>
    </row>
    <row r="267" spans="1:4" x14ac:dyDescent="0.2">
      <c r="A267">
        <v>230</v>
      </c>
      <c r="B267" s="7">
        <v>0.91847056528952642</v>
      </c>
      <c r="C267" s="28">
        <v>7854.116061357694</v>
      </c>
      <c r="D267" s="28">
        <v>8551.2986024564289</v>
      </c>
    </row>
    <row r="268" spans="1:4" x14ac:dyDescent="0.2">
      <c r="A268">
        <v>231</v>
      </c>
      <c r="B268" s="7">
        <v>1.0812162925353093</v>
      </c>
      <c r="C268" s="28">
        <v>8064.7098953829536</v>
      </c>
      <c r="D268" s="28">
        <v>7458.9237611951585</v>
      </c>
    </row>
    <row r="269" spans="1:4" x14ac:dyDescent="0.2">
      <c r="A269">
        <v>232</v>
      </c>
      <c r="B269" s="7">
        <v>0.82198780292428264</v>
      </c>
      <c r="C269" s="28">
        <v>7167.6516372818169</v>
      </c>
      <c r="D269" s="28">
        <v>8719.9002366973873</v>
      </c>
    </row>
    <row r="270" spans="1:4" x14ac:dyDescent="0.2">
      <c r="A270">
        <v>233</v>
      </c>
      <c r="B270" s="7">
        <v>0.80373048584549522</v>
      </c>
      <c r="C270" s="28">
        <v>7910.1208474467858</v>
      </c>
      <c r="D270" s="28">
        <v>9841.7578861969214</v>
      </c>
    </row>
    <row r="271" spans="1:4" x14ac:dyDescent="0.2">
      <c r="A271">
        <v>234</v>
      </c>
      <c r="B271" s="7">
        <v>0.85832712208408424</v>
      </c>
      <c r="C271" s="28">
        <v>6897.3371056245251</v>
      </c>
      <c r="D271" s="28">
        <v>8035.7907004933741</v>
      </c>
    </row>
    <row r="272" spans="1:4" x14ac:dyDescent="0.2">
      <c r="A272">
        <v>235</v>
      </c>
      <c r="B272" s="7">
        <v>1.0016289894566537</v>
      </c>
      <c r="C272" s="28">
        <v>6101.6652533403521</v>
      </c>
      <c r="D272" s="28">
        <v>6091.7418700613662</v>
      </c>
    </row>
    <row r="273" spans="1:4" x14ac:dyDescent="0.2">
      <c r="A273">
        <v>236</v>
      </c>
      <c r="B273" s="7">
        <v>0.66276991786162043</v>
      </c>
      <c r="C273" s="28">
        <v>7692.9863057414896</v>
      </c>
      <c r="D273" s="28">
        <v>11607.325707482858</v>
      </c>
    </row>
    <row r="274" spans="1:4" x14ac:dyDescent="0.2">
      <c r="A274">
        <v>237</v>
      </c>
      <c r="B274" s="7">
        <v>0.93867291537056285</v>
      </c>
      <c r="C274" s="28">
        <v>7895.4361926679703</v>
      </c>
      <c r="D274" s="28">
        <v>8411.2751773082364</v>
      </c>
    </row>
    <row r="275" spans="1:4" x14ac:dyDescent="0.2">
      <c r="A275">
        <v>238</v>
      </c>
      <c r="B275" s="7">
        <v>0.88473911626744695</v>
      </c>
      <c r="C275" s="28">
        <v>7790.7694351128457</v>
      </c>
      <c r="D275" s="28">
        <v>8805.7250910083894</v>
      </c>
    </row>
    <row r="276" spans="1:4" x14ac:dyDescent="0.2">
      <c r="A276">
        <v>239</v>
      </c>
      <c r="B276" s="7">
        <v>0.82865960109659653</v>
      </c>
      <c r="C276" s="28">
        <v>7804.2018868613486</v>
      </c>
      <c r="D276" s="28">
        <v>9417.8621433140379</v>
      </c>
    </row>
    <row r="277" spans="1:4" x14ac:dyDescent="0.2">
      <c r="A277">
        <v>240</v>
      </c>
      <c r="B277" s="7">
        <v>0.79624609600691976</v>
      </c>
      <c r="C277" s="28">
        <v>8357.2561626541028</v>
      </c>
      <c r="D277" s="28">
        <v>10495.82058180851</v>
      </c>
    </row>
    <row r="278" spans="1:4" x14ac:dyDescent="0.2">
      <c r="A278">
        <v>241</v>
      </c>
      <c r="B278" s="7">
        <v>0.74053975594509236</v>
      </c>
      <c r="C278" s="28">
        <v>6117.1759945484973</v>
      </c>
      <c r="D278" s="28">
        <v>8260.4288904673722</v>
      </c>
    </row>
    <row r="279" spans="1:4" x14ac:dyDescent="0.2">
      <c r="A279">
        <v>242</v>
      </c>
      <c r="B279" s="7">
        <v>0.77389838761650331</v>
      </c>
      <c r="C279" s="28">
        <v>5858.5034167611611</v>
      </c>
      <c r="D279" s="28">
        <v>7570.1196830303734</v>
      </c>
    </row>
    <row r="280" spans="1:4" x14ac:dyDescent="0.2">
      <c r="A280">
        <v>243</v>
      </c>
      <c r="B280" s="7">
        <v>0.68598180450410418</v>
      </c>
      <c r="C280" s="28">
        <v>6255.2316223439357</v>
      </c>
      <c r="D280" s="28">
        <v>9118.6553072873976</v>
      </c>
    </row>
    <row r="281" spans="1:4" x14ac:dyDescent="0.2">
      <c r="A281">
        <v>244</v>
      </c>
      <c r="B281" s="7">
        <v>0.68984099995228387</v>
      </c>
      <c r="C281" s="28">
        <v>7623.7972911209072</v>
      </c>
      <c r="D281" s="28">
        <v>11051.528238606061</v>
      </c>
    </row>
    <row r="282" spans="1:4" x14ac:dyDescent="0.2">
      <c r="A282">
        <v>245</v>
      </c>
      <c r="B282" s="7">
        <v>0.64496095270725995</v>
      </c>
      <c r="C282" s="28">
        <v>6494.0922771929945</v>
      </c>
      <c r="D282" s="28">
        <v>10068.969679379312</v>
      </c>
    </row>
    <row r="283" spans="1:4" x14ac:dyDescent="0.2">
      <c r="A283">
        <v>246</v>
      </c>
      <c r="B283" s="7">
        <v>0.88507757674707577</v>
      </c>
      <c r="C283" s="28">
        <v>7052.9976539865584</v>
      </c>
      <c r="D283" s="28">
        <v>7968.7903515852586</v>
      </c>
    </row>
    <row r="284" spans="1:4" x14ac:dyDescent="0.2">
      <c r="A284">
        <v>247</v>
      </c>
      <c r="B284" s="7">
        <v>0.96450566003140814</v>
      </c>
      <c r="C284" s="28">
        <v>6567.8386517341769</v>
      </c>
      <c r="D284" s="28">
        <v>6809.5387346097086</v>
      </c>
    </row>
    <row r="285" spans="1:4" x14ac:dyDescent="0.2">
      <c r="A285">
        <v>248</v>
      </c>
      <c r="B285" s="7">
        <v>0.77907464239636504</v>
      </c>
      <c r="C285" s="28">
        <v>6871.3997667620515</v>
      </c>
      <c r="D285" s="28">
        <v>8819.9504807732301</v>
      </c>
    </row>
    <row r="286" spans="1:4" x14ac:dyDescent="0.2">
      <c r="A286">
        <v>249</v>
      </c>
      <c r="B286" s="7">
        <v>0.61554379052608255</v>
      </c>
      <c r="C286" s="28">
        <v>6494.7875886609982</v>
      </c>
      <c r="D286" s="28">
        <v>10551.300636320517</v>
      </c>
    </row>
    <row r="287" spans="1:4" x14ac:dyDescent="0.2">
      <c r="A287">
        <v>250</v>
      </c>
      <c r="B287" s="7">
        <v>1.033766495850144</v>
      </c>
      <c r="C287" s="28">
        <v>7387.9320320506322</v>
      </c>
      <c r="D287" s="28">
        <v>7146.6158573604953</v>
      </c>
    </row>
    <row r="288" spans="1:4" x14ac:dyDescent="0.2">
      <c r="A288">
        <v>251</v>
      </c>
      <c r="B288" s="7">
        <v>0.86055357023074919</v>
      </c>
      <c r="C288" s="28">
        <v>8219.3554681471614</v>
      </c>
      <c r="D288" s="28">
        <v>9551.2420754273553</v>
      </c>
    </row>
    <row r="289" spans="1:4" x14ac:dyDescent="0.2">
      <c r="A289">
        <v>252</v>
      </c>
      <c r="B289" s="7">
        <v>0.64939863556679533</v>
      </c>
      <c r="C289" s="28">
        <v>6952.2732925043174</v>
      </c>
      <c r="D289" s="28">
        <v>10705.709731644833</v>
      </c>
    </row>
    <row r="290" spans="1:4" x14ac:dyDescent="0.2">
      <c r="A290">
        <v>253</v>
      </c>
      <c r="B290" s="7">
        <v>0.91075282296868032</v>
      </c>
      <c r="C290" s="28">
        <v>5638.9525191677421</v>
      </c>
      <c r="D290" s="28">
        <v>6191.5290043099421</v>
      </c>
    </row>
    <row r="291" spans="1:4" x14ac:dyDescent="0.2">
      <c r="A291">
        <v>254</v>
      </c>
      <c r="B291" s="7">
        <v>0.85007656124857167</v>
      </c>
      <c r="C291" s="28">
        <v>5181.5940676290447</v>
      </c>
      <c r="D291" s="28">
        <v>6095.4439915605317</v>
      </c>
    </row>
    <row r="292" spans="1:4" x14ac:dyDescent="0.2">
      <c r="A292">
        <v>255</v>
      </c>
      <c r="B292" s="7">
        <v>0.78773656118395596</v>
      </c>
      <c r="C292" s="28">
        <v>6036.3766224090887</v>
      </c>
      <c r="D292" s="28">
        <v>7662.938245923875</v>
      </c>
    </row>
    <row r="293" spans="1:4" x14ac:dyDescent="0.2">
      <c r="A293">
        <v>256</v>
      </c>
      <c r="B293" s="7">
        <v>1.3371452109776412</v>
      </c>
      <c r="C293" s="28">
        <v>6672.2121745107488</v>
      </c>
      <c r="D293" s="28">
        <v>4989.8934833206513</v>
      </c>
    </row>
    <row r="294" spans="1:4" x14ac:dyDescent="0.2">
      <c r="A294">
        <v>257</v>
      </c>
      <c r="B294" s="7">
        <v>0.76372161897890489</v>
      </c>
      <c r="C294" s="28">
        <v>7396.6070850920769</v>
      </c>
      <c r="D294" s="28">
        <v>9684.9518218187059</v>
      </c>
    </row>
    <row r="295" spans="1:4" x14ac:dyDescent="0.2">
      <c r="A295">
        <v>258</v>
      </c>
      <c r="B295" s="7">
        <v>0.71880235520985902</v>
      </c>
      <c r="C295" s="28">
        <v>5359.3298883970929</v>
      </c>
      <c r="D295" s="28">
        <v>7455.9158711053497</v>
      </c>
    </row>
    <row r="296" spans="1:4" x14ac:dyDescent="0.2">
      <c r="A296">
        <v>259</v>
      </c>
      <c r="B296" s="7">
        <v>0.83647556762953457</v>
      </c>
      <c r="C296" s="28">
        <v>8103.2682285402407</v>
      </c>
      <c r="D296" s="28">
        <v>9687.3938009975263</v>
      </c>
    </row>
    <row r="297" spans="1:4" x14ac:dyDescent="0.2">
      <c r="A297">
        <v>260</v>
      </c>
      <c r="B297" s="7">
        <v>0.6948308611107894</v>
      </c>
      <c r="C297" s="28">
        <v>6205.686605157136</v>
      </c>
      <c r="D297" s="28">
        <v>8931.2190239167448</v>
      </c>
    </row>
    <row r="298" spans="1:4" x14ac:dyDescent="0.2">
      <c r="A298">
        <v>261</v>
      </c>
      <c r="B298" s="7">
        <v>0.71570076176631492</v>
      </c>
      <c r="C298" s="28">
        <v>4905.9137515607781</v>
      </c>
      <c r="D298" s="28">
        <v>6854.6996365537179</v>
      </c>
    </row>
    <row r="299" spans="1:4" x14ac:dyDescent="0.2">
      <c r="A299">
        <v>262</v>
      </c>
      <c r="B299" s="7">
        <v>1.1870172548601747</v>
      </c>
      <c r="C299" s="28">
        <v>4921.824884290083</v>
      </c>
      <c r="D299" s="28">
        <v>4146.3802351128006</v>
      </c>
    </row>
    <row r="300" spans="1:4" x14ac:dyDescent="0.2">
      <c r="A300">
        <v>263</v>
      </c>
      <c r="B300" s="7">
        <v>0.90266937116609292</v>
      </c>
      <c r="C300" s="28">
        <v>7547.2510191404526</v>
      </c>
      <c r="D300" s="28">
        <v>8361.0359010971079</v>
      </c>
    </row>
    <row r="301" spans="1:4" x14ac:dyDescent="0.2">
      <c r="A301">
        <v>264</v>
      </c>
      <c r="B301" s="7">
        <v>0.88645590859655865</v>
      </c>
      <c r="C301" s="28">
        <v>6251.7158832844889</v>
      </c>
      <c r="D301" s="28">
        <v>7052.4837418955631</v>
      </c>
    </row>
    <row r="302" spans="1:4" x14ac:dyDescent="0.2">
      <c r="A302">
        <v>265</v>
      </c>
      <c r="B302" s="7">
        <v>0.71518084017788475</v>
      </c>
      <c r="C302" s="28">
        <v>7770.3296309821708</v>
      </c>
      <c r="D302" s="28">
        <v>10864.845916522989</v>
      </c>
    </row>
    <row r="303" spans="1:4" x14ac:dyDescent="0.2">
      <c r="A303">
        <v>266</v>
      </c>
      <c r="B303" s="7">
        <v>0.62197651302082768</v>
      </c>
      <c r="C303" s="28">
        <v>7612.9088054753101</v>
      </c>
      <c r="D303" s="28">
        <v>12239.865406654644</v>
      </c>
    </row>
    <row r="304" spans="1:4" x14ac:dyDescent="0.2">
      <c r="A304">
        <v>267</v>
      </c>
      <c r="B304" s="7">
        <v>0.89121317714617021</v>
      </c>
      <c r="C304" s="28">
        <v>7349.330561922834</v>
      </c>
      <c r="D304" s="28">
        <v>8246.433906483242</v>
      </c>
    </row>
    <row r="305" spans="1:4" x14ac:dyDescent="0.2">
      <c r="A305">
        <v>268</v>
      </c>
      <c r="B305" s="7">
        <v>1.0011914427798052</v>
      </c>
      <c r="C305" s="28">
        <v>7105.5557201156571</v>
      </c>
      <c r="D305" s="28">
        <v>7097.0999316445432</v>
      </c>
    </row>
    <row r="306" spans="1:4" x14ac:dyDescent="0.2">
      <c r="A306">
        <v>269</v>
      </c>
      <c r="B306" s="7">
        <v>0.80219063630477105</v>
      </c>
      <c r="C306" s="28">
        <v>5569.8455564916549</v>
      </c>
      <c r="D306" s="28">
        <v>6943.2941553004366</v>
      </c>
    </row>
    <row r="307" spans="1:4" x14ac:dyDescent="0.2">
      <c r="A307">
        <v>270</v>
      </c>
      <c r="B307" s="7">
        <v>0.94028773683450062</v>
      </c>
      <c r="C307" s="28">
        <v>8033.5309095252815</v>
      </c>
      <c r="D307" s="28">
        <v>8543.6942276524205</v>
      </c>
    </row>
    <row r="308" spans="1:4" x14ac:dyDescent="0.2">
      <c r="A308">
        <v>271</v>
      </c>
      <c r="B308" s="7">
        <v>0.94659701959217557</v>
      </c>
      <c r="C308" s="28">
        <v>7440.9824539514866</v>
      </c>
      <c r="D308" s="28">
        <v>7860.7710566818614</v>
      </c>
    </row>
    <row r="309" spans="1:4" x14ac:dyDescent="0.2">
      <c r="A309">
        <v>272</v>
      </c>
      <c r="B309" s="7">
        <v>0.9456979566203696</v>
      </c>
      <c r="C309" s="28">
        <v>5394.7311397205121</v>
      </c>
      <c r="D309" s="28">
        <v>5704.4969823130459</v>
      </c>
    </row>
    <row r="310" spans="1:4" x14ac:dyDescent="0.2">
      <c r="A310">
        <v>273</v>
      </c>
      <c r="B310" s="7">
        <v>0.76773421789674146</v>
      </c>
      <c r="C310" s="28">
        <v>6660.7192230670134</v>
      </c>
      <c r="D310" s="28">
        <v>8675.8139311733339</v>
      </c>
    </row>
    <row r="311" spans="1:4" x14ac:dyDescent="0.2">
      <c r="A311">
        <v>274</v>
      </c>
      <c r="B311" s="7">
        <v>0.99728421588532079</v>
      </c>
      <c r="C311" s="28">
        <v>8407.3644829908317</v>
      </c>
      <c r="D311" s="28">
        <v>8430.2592471368334</v>
      </c>
    </row>
    <row r="312" spans="1:4" x14ac:dyDescent="0.2">
      <c r="A312">
        <v>275</v>
      </c>
      <c r="B312" s="7">
        <v>1.226272131001001</v>
      </c>
      <c r="C312" s="28">
        <v>6588.6795888428205</v>
      </c>
      <c r="D312" s="28">
        <v>5372.9342959661881</v>
      </c>
    </row>
    <row r="313" spans="1:4" x14ac:dyDescent="0.2">
      <c r="A313">
        <v>276</v>
      </c>
      <c r="B313" s="7">
        <v>0.7400316856751088</v>
      </c>
      <c r="C313" s="28">
        <v>8621.9566231034023</v>
      </c>
      <c r="D313" s="28">
        <v>11650.793864640875</v>
      </c>
    </row>
    <row r="314" spans="1:4" x14ac:dyDescent="0.2">
      <c r="A314">
        <v>277</v>
      </c>
      <c r="B314" s="7">
        <v>0.8540792011546614</v>
      </c>
      <c r="C314" s="28">
        <v>6834.4874763053394</v>
      </c>
      <c r="D314" s="28">
        <v>8002.1706032245511</v>
      </c>
    </row>
    <row r="315" spans="1:4" x14ac:dyDescent="0.2">
      <c r="A315">
        <v>278</v>
      </c>
      <c r="B315" s="7">
        <v>0.90956344912025333</v>
      </c>
      <c r="C315" s="28">
        <v>5457.7251945078224</v>
      </c>
      <c r="D315" s="28">
        <v>6000.3787528914399</v>
      </c>
    </row>
    <row r="316" spans="1:4" x14ac:dyDescent="0.2">
      <c r="A316">
        <v>279</v>
      </c>
      <c r="B316" s="7">
        <v>0.79215495081214815</v>
      </c>
      <c r="C316" s="28">
        <v>6122.5487512536365</v>
      </c>
      <c r="D316" s="28">
        <v>7728.9787117742062</v>
      </c>
    </row>
    <row r="317" spans="1:4" x14ac:dyDescent="0.2">
      <c r="A317">
        <v>280</v>
      </c>
      <c r="B317" s="7">
        <v>0.63295630895597377</v>
      </c>
      <c r="C317" s="28">
        <v>5519.2390830892236</v>
      </c>
      <c r="D317" s="28">
        <v>8719.7789246984539</v>
      </c>
    </row>
    <row r="318" spans="1:4" x14ac:dyDescent="0.2">
      <c r="A318">
        <v>281</v>
      </c>
      <c r="B318" s="7">
        <v>1.0456478570424554</v>
      </c>
      <c r="C318" s="28">
        <v>5411.602463290963</v>
      </c>
      <c r="D318" s="28">
        <v>5175.3584410313015</v>
      </c>
    </row>
    <row r="319" spans="1:4" x14ac:dyDescent="0.2">
      <c r="A319">
        <v>282</v>
      </c>
      <c r="B319" s="7">
        <v>0.9412772551316797</v>
      </c>
      <c r="C319" s="28">
        <v>8457.399582276943</v>
      </c>
      <c r="D319" s="28">
        <v>8985.0249075590345</v>
      </c>
    </row>
    <row r="320" spans="1:4" x14ac:dyDescent="0.2">
      <c r="A320">
        <v>283</v>
      </c>
      <c r="B320" s="7">
        <v>1.1689027847830316</v>
      </c>
      <c r="C320" s="28">
        <v>7773.0109751803411</v>
      </c>
      <c r="D320" s="28">
        <v>6649.8352783231203</v>
      </c>
    </row>
    <row r="321" spans="1:4" x14ac:dyDescent="0.2">
      <c r="A321">
        <v>284</v>
      </c>
      <c r="B321" s="35">
        <v>0.77249923081241789</v>
      </c>
      <c r="C321" s="36">
        <v>7130.7452471327251</v>
      </c>
      <c r="D321" s="36">
        <v>9230.7473751572561</v>
      </c>
    </row>
    <row r="322" spans="1:4" x14ac:dyDescent="0.2">
      <c r="A322">
        <v>285</v>
      </c>
      <c r="B322" s="7">
        <v>0.65121535990950719</v>
      </c>
      <c r="C322" s="28">
        <v>6892.3009262102878</v>
      </c>
      <c r="D322" s="28">
        <v>10583.750553991909</v>
      </c>
    </row>
    <row r="323" spans="1:4" x14ac:dyDescent="0.2">
      <c r="A323">
        <v>286</v>
      </c>
      <c r="B323" s="7">
        <v>0.88794784270842975</v>
      </c>
      <c r="C323" s="28">
        <v>6950.6323229891095</v>
      </c>
      <c r="D323" s="28">
        <v>7827.7484202092355</v>
      </c>
    </row>
    <row r="324" spans="1:4" x14ac:dyDescent="0.2">
      <c r="A324">
        <v>287</v>
      </c>
      <c r="B324" s="7">
        <v>0.7151269562469853</v>
      </c>
      <c r="C324" s="28">
        <v>8935.3214535188945</v>
      </c>
      <c r="D324" s="28">
        <v>12494.734501985236</v>
      </c>
    </row>
    <row r="325" spans="1:4" x14ac:dyDescent="0.2">
      <c r="A325">
        <v>288</v>
      </c>
      <c r="B325" s="7">
        <v>0.69836336647402142</v>
      </c>
      <c r="C325" s="28">
        <v>7929.9788827893153</v>
      </c>
      <c r="D325" s="28">
        <v>11355.090005403805</v>
      </c>
    </row>
    <row r="326" spans="1:4" x14ac:dyDescent="0.2">
      <c r="A326">
        <v>289</v>
      </c>
      <c r="B326" s="7">
        <v>0.76940435299371579</v>
      </c>
      <c r="C326" s="28">
        <v>5711.526120999335</v>
      </c>
      <c r="D326" s="28">
        <v>7423.3088216567248</v>
      </c>
    </row>
    <row r="327" spans="1:4" x14ac:dyDescent="0.2">
      <c r="A327">
        <v>290</v>
      </c>
      <c r="B327" s="7">
        <v>0.84218609504451702</v>
      </c>
      <c r="C327" s="28">
        <v>7405.7096946365436</v>
      </c>
      <c r="D327" s="28">
        <v>8793.4361992109189</v>
      </c>
    </row>
    <row r="328" spans="1:4" x14ac:dyDescent="0.2">
      <c r="A328">
        <v>291</v>
      </c>
      <c r="B328" s="7">
        <v>0.68742139572153071</v>
      </c>
      <c r="C328" s="28">
        <v>6251.9445930110196</v>
      </c>
      <c r="D328" s="28">
        <v>9094.7774275324355</v>
      </c>
    </row>
    <row r="329" spans="1:4" x14ac:dyDescent="0.2">
      <c r="A329">
        <v>292</v>
      </c>
      <c r="B329" s="7">
        <v>0.90222707059931295</v>
      </c>
      <c r="C329" s="28">
        <v>6742.2787935462002</v>
      </c>
      <c r="D329" s="28">
        <v>7472.9289479948511</v>
      </c>
    </row>
    <row r="330" spans="1:4" x14ac:dyDescent="0.2">
      <c r="A330">
        <v>293</v>
      </c>
      <c r="B330" s="7">
        <v>0.84286076937097754</v>
      </c>
      <c r="C330" s="28">
        <v>5576.8903968420072</v>
      </c>
      <c r="D330" s="28">
        <v>6616.621154409655</v>
      </c>
    </row>
    <row r="331" spans="1:4" x14ac:dyDescent="0.2">
      <c r="A331">
        <v>294</v>
      </c>
      <c r="B331" s="7">
        <v>0.82964820284595397</v>
      </c>
      <c r="C331" s="28">
        <v>4590.7074541179645</v>
      </c>
      <c r="D331" s="28">
        <v>5533.3181442090709</v>
      </c>
    </row>
    <row r="332" spans="1:4" x14ac:dyDescent="0.2">
      <c r="A332">
        <v>295</v>
      </c>
      <c r="B332" s="7">
        <v>0.88268173350305634</v>
      </c>
      <c r="C332" s="28">
        <v>6831.0310051243468</v>
      </c>
      <c r="D332" s="28">
        <v>7738.9513636068623</v>
      </c>
    </row>
    <row r="333" spans="1:4" x14ac:dyDescent="0.2">
      <c r="A333">
        <v>296</v>
      </c>
      <c r="B333" s="7">
        <v>0.77154987971410272</v>
      </c>
      <c r="C333" s="28">
        <v>7850.9398627141909</v>
      </c>
      <c r="D333" s="28">
        <v>10175.544147091761</v>
      </c>
    </row>
    <row r="334" spans="1:4" x14ac:dyDescent="0.2">
      <c r="A334">
        <v>297</v>
      </c>
      <c r="B334" s="7">
        <v>0.88766828567256795</v>
      </c>
      <c r="C334" s="28">
        <v>6439.0011276050463</v>
      </c>
      <c r="D334" s="28">
        <v>7253.8370825384936</v>
      </c>
    </row>
    <row r="335" spans="1:4" x14ac:dyDescent="0.2">
      <c r="A335">
        <v>298</v>
      </c>
      <c r="B335" s="7">
        <v>1.1197278026199076</v>
      </c>
      <c r="C335" s="28">
        <v>5702.2753076811978</v>
      </c>
      <c r="D335" s="28">
        <v>5092.5548998061622</v>
      </c>
    </row>
    <row r="336" spans="1:4" x14ac:dyDescent="0.2">
      <c r="A336">
        <v>299</v>
      </c>
      <c r="B336" s="7">
        <v>0.82557687793425494</v>
      </c>
      <c r="C336" s="28">
        <v>5732.425549495154</v>
      </c>
      <c r="D336" s="28">
        <v>6943.5393634554493</v>
      </c>
    </row>
    <row r="337" spans="1:4" x14ac:dyDescent="0.2">
      <c r="A337">
        <v>300</v>
      </c>
      <c r="B337" s="7">
        <v>0.73714515717238527</v>
      </c>
      <c r="C337" s="28">
        <v>7308.2097970492214</v>
      </c>
      <c r="D337" s="28">
        <v>9914.2071625116278</v>
      </c>
    </row>
    <row r="338" spans="1:4" x14ac:dyDescent="0.2">
      <c r="A338">
        <v>301</v>
      </c>
      <c r="B338" s="7">
        <v>0.82358197778850606</v>
      </c>
      <c r="C338" s="28">
        <v>6654.3546891967353</v>
      </c>
      <c r="D338" s="28">
        <v>8079.7721036406147</v>
      </c>
    </row>
    <row r="339" spans="1:4" x14ac:dyDescent="0.2">
      <c r="A339">
        <v>302</v>
      </c>
      <c r="B339" s="7">
        <v>0.71843210858290529</v>
      </c>
      <c r="C339" s="28">
        <v>7091.6021697617252</v>
      </c>
      <c r="D339" s="28">
        <v>9870.9426890033992</v>
      </c>
    </row>
    <row r="340" spans="1:4" x14ac:dyDescent="0.2">
      <c r="A340">
        <v>303</v>
      </c>
      <c r="B340" s="7">
        <v>1.181014991291983</v>
      </c>
      <c r="C340" s="28">
        <v>7314.2390085470106</v>
      </c>
      <c r="D340" s="28">
        <v>6193.180495148099</v>
      </c>
    </row>
    <row r="341" spans="1:4" x14ac:dyDescent="0.2">
      <c r="A341">
        <v>304</v>
      </c>
      <c r="B341" s="7">
        <v>0.91001871940650503</v>
      </c>
      <c r="C341" s="28">
        <v>6460.3027189157274</v>
      </c>
      <c r="D341" s="28">
        <v>7099.0877233041974</v>
      </c>
    </row>
    <row r="342" spans="1:4" x14ac:dyDescent="0.2">
      <c r="A342">
        <v>305</v>
      </c>
      <c r="B342" s="7">
        <v>0.90516188368261652</v>
      </c>
      <c r="C342" s="28">
        <v>6602.7238642170187</v>
      </c>
      <c r="D342" s="28">
        <v>7294.5226519637454</v>
      </c>
    </row>
    <row r="343" spans="1:4" x14ac:dyDescent="0.2">
      <c r="A343">
        <v>306</v>
      </c>
      <c r="B343" s="7">
        <v>1.0360698881135111</v>
      </c>
      <c r="C343" s="28">
        <v>6376.2932241642675</v>
      </c>
      <c r="D343" s="28">
        <v>6154.3080223809047</v>
      </c>
    </row>
    <row r="344" spans="1:4" x14ac:dyDescent="0.2">
      <c r="A344">
        <v>307</v>
      </c>
      <c r="B344" s="7">
        <v>0.78298985127735854</v>
      </c>
      <c r="C344" s="28">
        <v>7274.2392778126541</v>
      </c>
      <c r="D344" s="28">
        <v>9290.3366064650309</v>
      </c>
    </row>
    <row r="345" spans="1:4" x14ac:dyDescent="0.2">
      <c r="A345">
        <v>308</v>
      </c>
      <c r="B345" s="7">
        <v>1.0659324094339926</v>
      </c>
      <c r="C345" s="28">
        <v>5739.7792991737433</v>
      </c>
      <c r="D345" s="28">
        <v>5384.749772475303</v>
      </c>
    </row>
    <row r="346" spans="1:4" x14ac:dyDescent="0.2">
      <c r="A346">
        <v>309</v>
      </c>
      <c r="B346" s="7">
        <v>0.92274631718440592</v>
      </c>
      <c r="C346" s="28">
        <v>8763.3415393159194</v>
      </c>
      <c r="D346" s="28">
        <v>9497.0214197718797</v>
      </c>
    </row>
    <row r="347" spans="1:4" x14ac:dyDescent="0.2">
      <c r="A347">
        <v>310</v>
      </c>
      <c r="B347" s="7">
        <v>0.56811460239701717</v>
      </c>
      <c r="C347" s="28">
        <v>9572.3423785786399</v>
      </c>
      <c r="D347" s="28">
        <v>16849.315856678459</v>
      </c>
    </row>
    <row r="348" spans="1:4" x14ac:dyDescent="0.2">
      <c r="A348">
        <v>311</v>
      </c>
      <c r="B348" s="7">
        <v>0.85080181950971223</v>
      </c>
      <c r="C348" s="28">
        <v>9379.5955838791506</v>
      </c>
      <c r="D348" s="28">
        <v>11024.418811520982</v>
      </c>
    </row>
    <row r="349" spans="1:4" x14ac:dyDescent="0.2">
      <c r="A349">
        <v>312</v>
      </c>
      <c r="B349" s="7">
        <v>0.8667180388765594</v>
      </c>
      <c r="C349" s="28">
        <v>5952.351628484912</v>
      </c>
      <c r="D349" s="28">
        <v>6867.6909461817077</v>
      </c>
    </row>
    <row r="350" spans="1:4" x14ac:dyDescent="0.2">
      <c r="A350">
        <v>313</v>
      </c>
      <c r="B350" s="7">
        <v>1.0851363020433729</v>
      </c>
      <c r="C350" s="28">
        <v>6928.0559512016425</v>
      </c>
      <c r="D350" s="28">
        <v>6384.502977327109</v>
      </c>
    </row>
    <row r="351" spans="1:4" x14ac:dyDescent="0.2">
      <c r="A351">
        <v>314</v>
      </c>
      <c r="B351" s="7">
        <v>1.033003520296595</v>
      </c>
      <c r="C351" s="28">
        <v>6800.8053185909812</v>
      </c>
      <c r="D351" s="28">
        <v>6583.5257915077964</v>
      </c>
    </row>
    <row r="352" spans="1:4" x14ac:dyDescent="0.2">
      <c r="A352">
        <v>315</v>
      </c>
      <c r="B352" s="7">
        <v>0.78216785812542167</v>
      </c>
      <c r="C352" s="28">
        <v>7121.0398888569543</v>
      </c>
      <c r="D352" s="28">
        <v>9104.234870918317</v>
      </c>
    </row>
    <row r="353" spans="1:4" x14ac:dyDescent="0.2">
      <c r="A353">
        <v>316</v>
      </c>
      <c r="B353" s="7">
        <v>0.76463185498234232</v>
      </c>
      <c r="C353" s="28">
        <v>6764.3188532502591</v>
      </c>
      <c r="D353" s="28">
        <v>8846.5041172087549</v>
      </c>
    </row>
    <row r="354" spans="1:4" x14ac:dyDescent="0.2">
      <c r="A354">
        <v>317</v>
      </c>
      <c r="B354" s="7">
        <v>0.85742137075881963</v>
      </c>
      <c r="C354" s="28">
        <v>8246.1463959449793</v>
      </c>
      <c r="D354" s="28">
        <v>9617.3791290589397</v>
      </c>
    </row>
    <row r="355" spans="1:4" x14ac:dyDescent="0.2">
      <c r="A355">
        <v>318</v>
      </c>
      <c r="B355" s="7">
        <v>0.63568884618017485</v>
      </c>
      <c r="C355" s="28">
        <v>6458.7734823619485</v>
      </c>
      <c r="D355" s="28">
        <v>10160.274985431037</v>
      </c>
    </row>
    <row r="356" spans="1:4" x14ac:dyDescent="0.2">
      <c r="A356">
        <v>319</v>
      </c>
      <c r="B356" s="7">
        <v>0.68993407831419962</v>
      </c>
      <c r="C356" s="28">
        <v>6682.1796654954778</v>
      </c>
      <c r="D356" s="28">
        <v>9685.2436711386472</v>
      </c>
    </row>
    <row r="357" spans="1:4" x14ac:dyDescent="0.2">
      <c r="A357">
        <v>320</v>
      </c>
      <c r="B357" s="7">
        <v>1.0087636397120336</v>
      </c>
      <c r="C357" s="28">
        <v>6624.6659658608214</v>
      </c>
      <c r="D357" s="28">
        <v>6567.1141435588706</v>
      </c>
    </row>
    <row r="358" spans="1:4" x14ac:dyDescent="0.2">
      <c r="A358">
        <v>321</v>
      </c>
      <c r="B358" s="7">
        <v>1.0263843492331315</v>
      </c>
      <c r="C358" s="28">
        <v>6946.1545176904765</v>
      </c>
      <c r="D358" s="28">
        <v>6767.5959038934416</v>
      </c>
    </row>
    <row r="359" spans="1:4" x14ac:dyDescent="0.2">
      <c r="A359">
        <v>322</v>
      </c>
      <c r="B359" s="7">
        <v>0.91605209549954036</v>
      </c>
      <c r="C359" s="28">
        <v>4389.777253870272</v>
      </c>
      <c r="D359" s="28">
        <v>4792.0607085958845</v>
      </c>
    </row>
    <row r="360" spans="1:4" x14ac:dyDescent="0.2">
      <c r="A360">
        <v>323</v>
      </c>
      <c r="B360" s="7">
        <v>0.99365846488345699</v>
      </c>
      <c r="C360" s="28">
        <v>6340.5096039533655</v>
      </c>
      <c r="D360" s="28">
        <v>6380.9747795959483</v>
      </c>
    </row>
    <row r="361" spans="1:4" x14ac:dyDescent="0.2">
      <c r="A361">
        <v>324</v>
      </c>
      <c r="B361" s="7">
        <v>0.87119386929942699</v>
      </c>
      <c r="C361" s="28">
        <v>5937.4904121374748</v>
      </c>
      <c r="D361" s="28">
        <v>6815.349167817405</v>
      </c>
    </row>
    <row r="362" spans="1:4" x14ac:dyDescent="0.2">
      <c r="A362">
        <v>325</v>
      </c>
      <c r="B362" s="7">
        <v>0.80781009838604501</v>
      </c>
      <c r="C362" s="28">
        <v>7208.83749456849</v>
      </c>
      <c r="D362" s="28">
        <v>8923.9259436980356</v>
      </c>
    </row>
    <row r="363" spans="1:4" x14ac:dyDescent="0.2">
      <c r="A363">
        <v>326</v>
      </c>
      <c r="B363" s="35">
        <v>0.77798266228674073</v>
      </c>
      <c r="C363" s="36">
        <v>7508.6705570592931</v>
      </c>
      <c r="D363" s="36">
        <v>9651.4625852829431</v>
      </c>
    </row>
    <row r="364" spans="1:4" x14ac:dyDescent="0.2">
      <c r="A364">
        <v>327</v>
      </c>
      <c r="B364" s="7">
        <v>1.0189162616717047</v>
      </c>
      <c r="C364" s="28">
        <v>6766.76799360726</v>
      </c>
      <c r="D364" s="28">
        <v>6641.1424060552645</v>
      </c>
    </row>
    <row r="365" spans="1:4" x14ac:dyDescent="0.2">
      <c r="A365">
        <v>328</v>
      </c>
      <c r="B365" s="7">
        <v>0.79685203290232032</v>
      </c>
      <c r="C365" s="28">
        <v>7374.7645048316281</v>
      </c>
      <c r="D365" s="28">
        <v>9254.8731763549895</v>
      </c>
    </row>
    <row r="366" spans="1:4" x14ac:dyDescent="0.2">
      <c r="A366">
        <v>329</v>
      </c>
      <c r="B366" s="7">
        <v>0.86280818406156268</v>
      </c>
      <c r="C366" s="28">
        <v>7046.1749138337436</v>
      </c>
      <c r="D366" s="28">
        <v>8166.5601277270553</v>
      </c>
    </row>
    <row r="367" spans="1:4" x14ac:dyDescent="0.2">
      <c r="A367">
        <v>330</v>
      </c>
      <c r="B367" s="35">
        <v>0.89461620014326471</v>
      </c>
      <c r="C367" s="36">
        <v>7892.4454100260491</v>
      </c>
      <c r="D367" s="36">
        <v>8822.1579362883713</v>
      </c>
    </row>
    <row r="368" spans="1:4" x14ac:dyDescent="0.2">
      <c r="A368">
        <v>331</v>
      </c>
      <c r="B368" s="7">
        <v>0.64950812160057847</v>
      </c>
      <c r="C368" s="28">
        <v>5802.7743198540447</v>
      </c>
      <c r="D368" s="28">
        <v>8934.105866997179</v>
      </c>
    </row>
    <row r="369" spans="1:4" x14ac:dyDescent="0.2">
      <c r="A369">
        <v>332</v>
      </c>
      <c r="B369" s="7">
        <v>0.81696170401216772</v>
      </c>
      <c r="C369" s="28">
        <v>7769.4603211721351</v>
      </c>
      <c r="D369" s="28">
        <v>9510.1891349565849</v>
      </c>
    </row>
    <row r="370" spans="1:4" x14ac:dyDescent="0.2">
      <c r="A370">
        <v>333</v>
      </c>
      <c r="B370" s="7">
        <v>0.73509195412690964</v>
      </c>
      <c r="C370" s="28">
        <v>7755.9939330700963</v>
      </c>
      <c r="D370" s="28">
        <v>10551.052680588946</v>
      </c>
    </row>
    <row r="371" spans="1:4" x14ac:dyDescent="0.2">
      <c r="A371">
        <v>334</v>
      </c>
      <c r="B371" s="7">
        <v>0.99417871379398903</v>
      </c>
      <c r="C371" s="28">
        <v>6225.0282020876439</v>
      </c>
      <c r="D371" s="28">
        <v>6261.4780579355447</v>
      </c>
    </row>
    <row r="372" spans="1:4" x14ac:dyDescent="0.2">
      <c r="A372">
        <v>335</v>
      </c>
      <c r="B372" s="7">
        <v>0.88243712867685353</v>
      </c>
      <c r="C372" s="28">
        <v>7269.523353473327</v>
      </c>
      <c r="D372" s="28">
        <v>8238.0071250780402</v>
      </c>
    </row>
    <row r="373" spans="1:4" x14ac:dyDescent="0.2">
      <c r="A373">
        <v>336</v>
      </c>
      <c r="B373" s="7">
        <v>0.89057665197912605</v>
      </c>
      <c r="C373" s="28">
        <v>8447.571118522148</v>
      </c>
      <c r="D373" s="28">
        <v>9485.5070585436224</v>
      </c>
    </row>
    <row r="374" spans="1:4" x14ac:dyDescent="0.2">
      <c r="A374">
        <v>337</v>
      </c>
      <c r="B374" s="35">
        <v>0.73709721908983816</v>
      </c>
      <c r="C374" s="36">
        <v>6445.4028861637671</v>
      </c>
      <c r="D374" s="36">
        <v>8744.3049834355625</v>
      </c>
    </row>
    <row r="375" spans="1:4" x14ac:dyDescent="0.2">
      <c r="A375">
        <v>338</v>
      </c>
      <c r="B375" s="7">
        <v>0.7465338921468776</v>
      </c>
      <c r="C375" s="28">
        <v>7990.7725983143628</v>
      </c>
      <c r="D375" s="28">
        <v>10703.830974551669</v>
      </c>
    </row>
    <row r="376" spans="1:4" x14ac:dyDescent="0.2">
      <c r="A376">
        <v>339</v>
      </c>
      <c r="B376" s="7">
        <v>1.1555713679515422</v>
      </c>
      <c r="C376" s="28">
        <v>5612.1357799681082</v>
      </c>
      <c r="D376" s="28">
        <v>4856.5895068139553</v>
      </c>
    </row>
    <row r="377" spans="1:4" x14ac:dyDescent="0.2">
      <c r="A377">
        <v>340</v>
      </c>
      <c r="B377" s="7">
        <v>0.92757823084389379</v>
      </c>
      <c r="C377" s="28">
        <v>5285.7671547960981</v>
      </c>
      <c r="D377" s="28">
        <v>5698.459686777258</v>
      </c>
    </row>
    <row r="378" spans="1:4" x14ac:dyDescent="0.2">
      <c r="A378">
        <v>341</v>
      </c>
      <c r="B378" s="35">
        <v>0.9529722434295147</v>
      </c>
      <c r="C378" s="36">
        <v>6577.7497485919121</v>
      </c>
      <c r="D378" s="36">
        <v>6902.3518722016443</v>
      </c>
    </row>
    <row r="379" spans="1:4" x14ac:dyDescent="0.2">
      <c r="A379">
        <v>342</v>
      </c>
      <c r="B379" s="7">
        <v>0.76761761944781703</v>
      </c>
      <c r="C379" s="28">
        <v>5790.9143481431202</v>
      </c>
      <c r="D379" s="28">
        <v>7544.0091543349326</v>
      </c>
    </row>
    <row r="380" spans="1:4" x14ac:dyDescent="0.2">
      <c r="A380">
        <v>343</v>
      </c>
      <c r="B380" s="7">
        <v>1.0956239719108218</v>
      </c>
      <c r="C380" s="28">
        <v>8628.5685590560079</v>
      </c>
      <c r="D380" s="28">
        <v>7875.4835420471518</v>
      </c>
    </row>
    <row r="381" spans="1:4" x14ac:dyDescent="0.2">
      <c r="A381">
        <v>344</v>
      </c>
      <c r="B381" s="7">
        <v>0.93144198290073632</v>
      </c>
      <c r="C381" s="28">
        <v>6671.2824203222408</v>
      </c>
      <c r="D381" s="28">
        <v>7162.3166475127618</v>
      </c>
    </row>
    <row r="382" spans="1:4" x14ac:dyDescent="0.2">
      <c r="A382">
        <v>345</v>
      </c>
      <c r="B382" s="7">
        <v>0.95582956737941771</v>
      </c>
      <c r="C382" s="28">
        <v>5270.8999512213795</v>
      </c>
      <c r="D382" s="28">
        <v>5514.476776097772</v>
      </c>
    </row>
    <row r="383" spans="1:4" x14ac:dyDescent="0.2">
      <c r="A383">
        <v>346</v>
      </c>
      <c r="B383" s="7">
        <v>0.70659891005036979</v>
      </c>
      <c r="C383" s="28">
        <v>9540.6280411080625</v>
      </c>
      <c r="D383" s="28">
        <v>13502.183353818024</v>
      </c>
    </row>
    <row r="384" spans="1:4" x14ac:dyDescent="0.2">
      <c r="A384">
        <v>347</v>
      </c>
      <c r="B384" s="35">
        <v>0.77234663372518941</v>
      </c>
      <c r="C384" s="36">
        <v>8003.4011806285434</v>
      </c>
      <c r="D384" s="36">
        <v>10362.447159284511</v>
      </c>
    </row>
    <row r="385" spans="1:4" x14ac:dyDescent="0.2">
      <c r="A385">
        <v>348</v>
      </c>
      <c r="B385" s="7">
        <v>0.98491976918619084</v>
      </c>
      <c r="C385" s="28">
        <v>5285.3158194056687</v>
      </c>
      <c r="D385" s="28">
        <v>5366.2399565527694</v>
      </c>
    </row>
    <row r="386" spans="1:4" x14ac:dyDescent="0.2">
      <c r="A386">
        <v>349</v>
      </c>
      <c r="B386" s="7">
        <v>0.66621695309664997</v>
      </c>
      <c r="C386" s="28">
        <v>8834.1247275871956</v>
      </c>
      <c r="D386" s="28">
        <v>13260.131983320462</v>
      </c>
    </row>
    <row r="387" spans="1:4" x14ac:dyDescent="0.2">
      <c r="A387">
        <v>350</v>
      </c>
      <c r="B387" s="7">
        <v>0.82603795322851425</v>
      </c>
      <c r="C387" s="28">
        <v>7895.8834453061972</v>
      </c>
      <c r="D387" s="28">
        <v>9558.7417193673282</v>
      </c>
    </row>
    <row r="388" spans="1:4" x14ac:dyDescent="0.2">
      <c r="A388">
        <v>351</v>
      </c>
      <c r="B388" s="7">
        <v>0.78481582478082501</v>
      </c>
      <c r="C388" s="28">
        <v>5974.6743474320592</v>
      </c>
      <c r="D388" s="28">
        <v>7612.8362333934874</v>
      </c>
    </row>
    <row r="389" spans="1:4" x14ac:dyDescent="0.2">
      <c r="A389">
        <v>352</v>
      </c>
      <c r="B389" s="35">
        <v>0.68930799286549593</v>
      </c>
      <c r="C389" s="36">
        <v>6730.3077557078996</v>
      </c>
      <c r="D389" s="36">
        <v>9763.8614746502426</v>
      </c>
    </row>
    <row r="390" spans="1:4" x14ac:dyDescent="0.2">
      <c r="A390">
        <v>353</v>
      </c>
      <c r="B390" s="7">
        <v>0.70616706119385686</v>
      </c>
      <c r="C390" s="28">
        <v>9174.8269997923599</v>
      </c>
      <c r="D390" s="28">
        <v>12992.431258803344</v>
      </c>
    </row>
    <row r="391" spans="1:4" x14ac:dyDescent="0.2">
      <c r="A391">
        <v>354</v>
      </c>
      <c r="B391" s="7">
        <v>0.85074550247390857</v>
      </c>
      <c r="C391" s="28">
        <v>6135.2608599268278</v>
      </c>
      <c r="D391" s="28">
        <v>7211.6289090990404</v>
      </c>
    </row>
    <row r="392" spans="1:4" x14ac:dyDescent="0.2">
      <c r="A392">
        <v>355</v>
      </c>
      <c r="B392" s="7">
        <v>0.77225028577878163</v>
      </c>
      <c r="C392" s="28">
        <v>8388.3392569137704</v>
      </c>
      <c r="D392" s="28">
        <v>10862.202852349204</v>
      </c>
    </row>
    <row r="393" spans="1:4" x14ac:dyDescent="0.2">
      <c r="A393">
        <v>356</v>
      </c>
      <c r="B393" s="7">
        <v>1.1024922217761626</v>
      </c>
      <c r="C393" s="28">
        <v>7496.8744708057875</v>
      </c>
      <c r="D393" s="28">
        <v>6799.9341153881333</v>
      </c>
    </row>
    <row r="394" spans="1:4" x14ac:dyDescent="0.2">
      <c r="A394">
        <v>357</v>
      </c>
      <c r="B394" s="7">
        <v>0.84367471871945821</v>
      </c>
      <c r="C394" s="28">
        <v>6479.6135128546412</v>
      </c>
      <c r="D394" s="28">
        <v>7680.2271883759813</v>
      </c>
    </row>
    <row r="395" spans="1:4" x14ac:dyDescent="0.2">
      <c r="A395">
        <v>358</v>
      </c>
      <c r="B395" s="7">
        <v>1.1310601088216092</v>
      </c>
      <c r="C395" s="28">
        <v>6360.7172023153389</v>
      </c>
      <c r="D395" s="28">
        <v>5623.6774267834699</v>
      </c>
    </row>
    <row r="396" spans="1:4" x14ac:dyDescent="0.2">
      <c r="A396">
        <v>359</v>
      </c>
      <c r="B396" s="35">
        <v>0.76654034016871364</v>
      </c>
      <c r="C396" s="36">
        <v>7628.5281285623551</v>
      </c>
      <c r="D396" s="36">
        <v>9951.8938910421002</v>
      </c>
    </row>
    <row r="397" spans="1:4" x14ac:dyDescent="0.2">
      <c r="A397">
        <v>360</v>
      </c>
      <c r="B397" s="7">
        <v>0.69816780094306363</v>
      </c>
      <c r="C397" s="28">
        <v>4911.8210929716115</v>
      </c>
      <c r="D397" s="28">
        <v>7035.3016657841772</v>
      </c>
    </row>
    <row r="398" spans="1:4" x14ac:dyDescent="0.2">
      <c r="A398">
        <v>361</v>
      </c>
      <c r="B398" s="7">
        <v>0.57719410760435075</v>
      </c>
      <c r="C398" s="28">
        <v>8921.9912328502705</v>
      </c>
      <c r="D398" s="28">
        <v>15457.523067726859</v>
      </c>
    </row>
    <row r="399" spans="1:4" x14ac:dyDescent="0.2">
      <c r="A399">
        <v>362</v>
      </c>
      <c r="B399" s="7">
        <v>0.55280964464415305</v>
      </c>
      <c r="C399" s="28">
        <v>8338.5688721753068</v>
      </c>
      <c r="D399" s="28">
        <v>15083.978640681811</v>
      </c>
    </row>
    <row r="400" spans="1:4" x14ac:dyDescent="0.2">
      <c r="A400">
        <v>363</v>
      </c>
      <c r="B400" s="7">
        <v>1.0987021831329624</v>
      </c>
      <c r="C400" s="28">
        <v>6762.0454461018016</v>
      </c>
      <c r="D400" s="28">
        <v>6154.5754162604353</v>
      </c>
    </row>
    <row r="401" spans="1:4" x14ac:dyDescent="0.2">
      <c r="A401">
        <v>364</v>
      </c>
      <c r="B401" s="7">
        <v>0.76669632367962137</v>
      </c>
      <c r="C401" s="28">
        <v>5000.3275287267479</v>
      </c>
      <c r="D401" s="28">
        <v>6521.9140542223722</v>
      </c>
    </row>
    <row r="402" spans="1:4" x14ac:dyDescent="0.2">
      <c r="A402">
        <v>365</v>
      </c>
      <c r="B402" s="7">
        <v>0.6191611652297162</v>
      </c>
      <c r="C402" s="28">
        <v>8104.2299974484631</v>
      </c>
      <c r="D402" s="28">
        <v>13089.047654404643</v>
      </c>
    </row>
    <row r="403" spans="1:4" x14ac:dyDescent="0.2">
      <c r="A403">
        <v>366</v>
      </c>
      <c r="B403" s="7">
        <v>0.92312638485241116</v>
      </c>
      <c r="C403" s="28">
        <v>6473.8615697592204</v>
      </c>
      <c r="D403" s="28">
        <v>7012.9742535679525</v>
      </c>
    </row>
    <row r="404" spans="1:4" x14ac:dyDescent="0.2">
      <c r="A404">
        <v>367</v>
      </c>
      <c r="B404" s="7">
        <v>0.71950806305129333</v>
      </c>
      <c r="C404" s="28">
        <v>7836.244810913231</v>
      </c>
      <c r="D404" s="28">
        <v>10891.114656424064</v>
      </c>
    </row>
    <row r="405" spans="1:4" x14ac:dyDescent="0.2">
      <c r="A405">
        <v>368</v>
      </c>
      <c r="B405" s="7">
        <v>0.78622211321970781</v>
      </c>
      <c r="C405" s="28">
        <v>7075.8511742676365</v>
      </c>
      <c r="D405" s="28">
        <v>8999.8119555437988</v>
      </c>
    </row>
    <row r="406" spans="1:4" x14ac:dyDescent="0.2">
      <c r="A406">
        <v>369</v>
      </c>
      <c r="B406" s="7">
        <v>0.74758762652210997</v>
      </c>
      <c r="C406" s="28">
        <v>5544.4897460117863</v>
      </c>
      <c r="D406" s="28">
        <v>7416.5081781858617</v>
      </c>
    </row>
    <row r="407" spans="1:4" x14ac:dyDescent="0.2">
      <c r="A407">
        <v>370</v>
      </c>
      <c r="B407" s="7">
        <v>0.55241659955858147</v>
      </c>
      <c r="C407" s="28">
        <v>6534.9936260358136</v>
      </c>
      <c r="D407" s="28">
        <v>11829.828486793696</v>
      </c>
    </row>
    <row r="408" spans="1:4" x14ac:dyDescent="0.2">
      <c r="A408">
        <v>371</v>
      </c>
      <c r="B408" s="7">
        <v>0.83040877360734378</v>
      </c>
      <c r="C408" s="28">
        <v>7011.9686384201796</v>
      </c>
      <c r="D408" s="28">
        <v>8443.9963320230618</v>
      </c>
    </row>
    <row r="409" spans="1:4" x14ac:dyDescent="0.2">
      <c r="A409">
        <v>372</v>
      </c>
      <c r="B409" s="7">
        <v>0.65591137749490969</v>
      </c>
      <c r="C409" s="28">
        <v>4972.0494712171439</v>
      </c>
      <c r="D409" s="28">
        <v>7580.36777804747</v>
      </c>
    </row>
    <row r="410" spans="1:4" x14ac:dyDescent="0.2">
      <c r="A410">
        <v>373</v>
      </c>
      <c r="B410" s="7">
        <v>0.60814827187670417</v>
      </c>
      <c r="C410" s="28">
        <v>6976.4836393909536</v>
      </c>
      <c r="D410" s="28">
        <v>11471.682091378801</v>
      </c>
    </row>
    <row r="411" spans="1:4" x14ac:dyDescent="0.2">
      <c r="A411">
        <v>374</v>
      </c>
      <c r="B411" s="7">
        <v>0.67245284209278111</v>
      </c>
      <c r="C411" s="28">
        <v>7391.8851157508152</v>
      </c>
      <c r="D411" s="28">
        <v>10992.421554418721</v>
      </c>
    </row>
    <row r="412" spans="1:4" x14ac:dyDescent="0.2">
      <c r="A412">
        <v>375</v>
      </c>
      <c r="B412" s="7">
        <v>1.0348288992568015</v>
      </c>
      <c r="C412" s="28">
        <v>5428.2788498541668</v>
      </c>
      <c r="D412" s="28">
        <v>5245.5810363942046</v>
      </c>
    </row>
    <row r="413" spans="1:4" x14ac:dyDescent="0.2">
      <c r="A413">
        <v>376</v>
      </c>
      <c r="B413" s="7">
        <v>0.83693785985511049</v>
      </c>
      <c r="C413" s="28">
        <v>8076.3388863116543</v>
      </c>
      <c r="D413" s="28">
        <v>9649.8668225019937</v>
      </c>
    </row>
    <row r="414" spans="1:4" x14ac:dyDescent="0.2">
      <c r="A414">
        <v>377</v>
      </c>
      <c r="B414" s="7">
        <v>0.82641168293068734</v>
      </c>
      <c r="C414" s="28">
        <v>7295.1902756304007</v>
      </c>
      <c r="D414" s="28">
        <v>8827.5497870015733</v>
      </c>
    </row>
    <row r="415" spans="1:4" x14ac:dyDescent="0.2">
      <c r="A415">
        <v>378</v>
      </c>
      <c r="B415" s="7">
        <v>0.69970108735329539</v>
      </c>
      <c r="C415" s="28">
        <v>7091.5462744579563</v>
      </c>
      <c r="D415" s="28">
        <v>10135.108266420728</v>
      </c>
    </row>
    <row r="416" spans="1:4" x14ac:dyDescent="0.2">
      <c r="A416">
        <v>379</v>
      </c>
      <c r="B416" s="7">
        <v>1.0404248230921489</v>
      </c>
      <c r="C416" s="28">
        <v>5984.2242350640299</v>
      </c>
      <c r="D416" s="28">
        <v>5751.7122835255686</v>
      </c>
    </row>
    <row r="417" spans="1:4" x14ac:dyDescent="0.2">
      <c r="A417">
        <v>380</v>
      </c>
      <c r="B417" s="7">
        <v>0.79527266245374761</v>
      </c>
      <c r="C417" s="28">
        <v>8863.4364648160263</v>
      </c>
      <c r="D417" s="28">
        <v>11145.154213485261</v>
      </c>
    </row>
    <row r="418" spans="1:4" x14ac:dyDescent="0.2">
      <c r="A418">
        <v>381</v>
      </c>
      <c r="B418" s="7">
        <v>0.76865523508812927</v>
      </c>
      <c r="C418" s="28">
        <v>5866.1165520892173</v>
      </c>
      <c r="D418" s="28">
        <v>7631.6614839898211</v>
      </c>
    </row>
    <row r="419" spans="1:4" x14ac:dyDescent="0.2">
      <c r="A419">
        <v>382</v>
      </c>
      <c r="B419" s="7">
        <v>0.84145440207474653</v>
      </c>
      <c r="C419" s="28">
        <v>6340.1612027580904</v>
      </c>
      <c r="D419" s="28">
        <v>7534.7650296027487</v>
      </c>
    </row>
    <row r="420" spans="1:4" x14ac:dyDescent="0.2">
      <c r="A420">
        <v>383</v>
      </c>
      <c r="B420" s="7">
        <v>0.682242724603908</v>
      </c>
      <c r="C420" s="28">
        <v>5517.7291609181648</v>
      </c>
      <c r="D420" s="28">
        <v>8087.6335678355699</v>
      </c>
    </row>
    <row r="421" spans="1:4" x14ac:dyDescent="0.2">
      <c r="A421">
        <v>384</v>
      </c>
      <c r="B421" s="7">
        <v>0.96598398202767033</v>
      </c>
      <c r="C421" s="28">
        <v>6816.5313829877177</v>
      </c>
      <c r="D421" s="28">
        <v>7056.567717281735</v>
      </c>
    </row>
    <row r="422" spans="1:4" x14ac:dyDescent="0.2">
      <c r="A422">
        <v>385</v>
      </c>
      <c r="B422" s="7">
        <v>0.76170356651385518</v>
      </c>
      <c r="C422" s="28">
        <v>7030.7278670672695</v>
      </c>
      <c r="D422" s="28">
        <v>9230.267752644666</v>
      </c>
    </row>
    <row r="423" spans="1:4" x14ac:dyDescent="0.2">
      <c r="A423">
        <v>386</v>
      </c>
      <c r="B423" s="7">
        <v>0.78035634956047595</v>
      </c>
      <c r="C423" s="28">
        <v>5998.0701486896587</v>
      </c>
      <c r="D423" s="28">
        <v>7686.3219631236188</v>
      </c>
    </row>
    <row r="424" spans="1:4" x14ac:dyDescent="0.2">
      <c r="A424">
        <v>387</v>
      </c>
      <c r="B424" s="7">
        <v>0.72884041335136374</v>
      </c>
      <c r="C424" s="28">
        <v>5713.3695159995341</v>
      </c>
      <c r="D424" s="28">
        <v>7838.9856151475497</v>
      </c>
    </row>
    <row r="425" spans="1:4" x14ac:dyDescent="0.2">
      <c r="A425">
        <v>388</v>
      </c>
      <c r="B425" s="7">
        <v>0.88203432069375776</v>
      </c>
      <c r="C425" s="28">
        <v>7455.9522841843846</v>
      </c>
      <c r="D425" s="28">
        <v>8453.131708435063</v>
      </c>
    </row>
    <row r="426" spans="1:4" x14ac:dyDescent="0.2">
      <c r="A426">
        <v>389</v>
      </c>
      <c r="B426" s="7">
        <v>0.80637906860565423</v>
      </c>
      <c r="C426" s="28">
        <v>7669.9988307617095</v>
      </c>
      <c r="D426" s="28">
        <v>9511.6541703199764</v>
      </c>
    </row>
    <row r="427" spans="1:4" x14ac:dyDescent="0.2">
      <c r="A427">
        <v>390</v>
      </c>
      <c r="B427" s="7">
        <v>0.94877676296944724</v>
      </c>
      <c r="C427" s="28">
        <v>7245.4092760887943</v>
      </c>
      <c r="D427" s="28">
        <v>7636.5796032065264</v>
      </c>
    </row>
    <row r="428" spans="1:4" x14ac:dyDescent="0.2">
      <c r="A428">
        <v>391</v>
      </c>
      <c r="B428" s="7">
        <v>0.80235603635961272</v>
      </c>
      <c r="C428" s="28">
        <v>5394.8964509349535</v>
      </c>
      <c r="D428" s="28">
        <v>6723.8186122612815</v>
      </c>
    </row>
    <row r="429" spans="1:4" x14ac:dyDescent="0.2">
      <c r="A429">
        <v>392</v>
      </c>
      <c r="B429" s="35">
        <v>0.95858507194008169</v>
      </c>
      <c r="C429" s="36">
        <v>7897.1786792860985</v>
      </c>
      <c r="D429" s="36">
        <v>8238.3701879510681</v>
      </c>
    </row>
    <row r="430" spans="1:4" x14ac:dyDescent="0.2">
      <c r="A430">
        <v>393</v>
      </c>
      <c r="B430" s="7">
        <v>0.61836179690110527</v>
      </c>
      <c r="C430" s="28">
        <v>6872.9418093658951</v>
      </c>
      <c r="D430" s="28">
        <v>11114.758129964302</v>
      </c>
    </row>
    <row r="431" spans="1:4" x14ac:dyDescent="0.2">
      <c r="A431">
        <v>394</v>
      </c>
      <c r="B431" s="7">
        <v>0.72942495795361761</v>
      </c>
      <c r="C431" s="28">
        <v>7614.513655783483</v>
      </c>
      <c r="D431" s="28">
        <v>10439.063775862289</v>
      </c>
    </row>
    <row r="432" spans="1:4" x14ac:dyDescent="0.2">
      <c r="A432">
        <v>395</v>
      </c>
      <c r="B432" s="7">
        <v>0.81620049139912965</v>
      </c>
      <c r="C432" s="28">
        <v>5554.9414133211212</v>
      </c>
      <c r="D432" s="28">
        <v>6805.8540418161829</v>
      </c>
    </row>
    <row r="433" spans="1:4" x14ac:dyDescent="0.2">
      <c r="A433">
        <v>396</v>
      </c>
      <c r="B433" s="7">
        <v>1.0491779887344279</v>
      </c>
      <c r="C433" s="28">
        <v>6318.3911016684287</v>
      </c>
      <c r="D433" s="28">
        <v>6022.2299452640964</v>
      </c>
    </row>
    <row r="434" spans="1:4" x14ac:dyDescent="0.2">
      <c r="A434">
        <v>397</v>
      </c>
      <c r="B434" s="7">
        <v>0.85416634207932418</v>
      </c>
      <c r="C434" s="28">
        <v>6371.1923794687464</v>
      </c>
      <c r="D434" s="28">
        <v>7458.9597665006922</v>
      </c>
    </row>
    <row r="435" spans="1:4" x14ac:dyDescent="0.2">
      <c r="A435">
        <v>398</v>
      </c>
      <c r="B435" s="7">
        <v>1.0507086483119288</v>
      </c>
      <c r="C435" s="29">
        <v>6521.2914265587788</v>
      </c>
      <c r="D435" s="28">
        <v>6206.5649093456141</v>
      </c>
    </row>
    <row r="436" spans="1:4" x14ac:dyDescent="0.2">
      <c r="A436">
        <v>399</v>
      </c>
      <c r="B436" s="7">
        <v>0.83428142003342209</v>
      </c>
      <c r="C436" s="28">
        <v>6333.0548686750681</v>
      </c>
      <c r="D436" s="28">
        <v>7591.0294974822282</v>
      </c>
    </row>
    <row r="437" spans="1:4" x14ac:dyDescent="0.2">
      <c r="A437">
        <v>400</v>
      </c>
      <c r="B437" s="7">
        <v>0.97839069385800492</v>
      </c>
      <c r="C437" s="28">
        <v>5969.0477105858681</v>
      </c>
      <c r="D437" s="28">
        <v>6100.8835714172928</v>
      </c>
    </row>
    <row r="438" spans="1:4" x14ac:dyDescent="0.2">
      <c r="A438">
        <v>401</v>
      </c>
      <c r="B438" s="7">
        <v>0.77981385333523257</v>
      </c>
      <c r="C438" s="28">
        <v>5835.0153812832395</v>
      </c>
      <c r="D438" s="28">
        <v>7482.5746635906926</v>
      </c>
    </row>
    <row r="439" spans="1:4" x14ac:dyDescent="0.2">
      <c r="A439">
        <v>402</v>
      </c>
      <c r="B439" s="7">
        <v>0.68172815606089543</v>
      </c>
      <c r="C439" s="28">
        <v>9085.2840757696831</v>
      </c>
      <c r="D439" s="28">
        <v>13326.842957852161</v>
      </c>
    </row>
    <row r="440" spans="1:4" x14ac:dyDescent="0.2">
      <c r="A440">
        <v>403</v>
      </c>
      <c r="B440" s="35">
        <v>1.2264667583729176</v>
      </c>
      <c r="C440" s="36">
        <v>8465.7834804047143</v>
      </c>
      <c r="D440" s="36">
        <v>6902.5788286637126</v>
      </c>
    </row>
    <row r="441" spans="1:4" x14ac:dyDescent="0.2">
      <c r="A441">
        <v>404</v>
      </c>
      <c r="B441" s="7">
        <v>0.68473754953815646</v>
      </c>
      <c r="C441" s="28">
        <v>6248.8962534761122</v>
      </c>
      <c r="D441" s="28">
        <v>9125.9728018287933</v>
      </c>
    </row>
    <row r="442" spans="1:4" x14ac:dyDescent="0.2">
      <c r="A442">
        <v>405</v>
      </c>
      <c r="B442" s="7">
        <v>0.87044339796470993</v>
      </c>
      <c r="C442" s="28">
        <v>5555.1228266750823</v>
      </c>
      <c r="D442" s="28">
        <v>6381.946074453771</v>
      </c>
    </row>
    <row r="443" spans="1:4" x14ac:dyDescent="0.2">
      <c r="A443">
        <v>406</v>
      </c>
      <c r="B443" s="7">
        <v>0.98718236496413869</v>
      </c>
      <c r="C443" s="28">
        <v>7086.8108966092532</v>
      </c>
      <c r="D443" s="28">
        <v>7178.8264743431628</v>
      </c>
    </row>
    <row r="444" spans="1:4" x14ac:dyDescent="0.2">
      <c r="A444">
        <v>407</v>
      </c>
      <c r="B444" s="7">
        <v>1.0500020806198638</v>
      </c>
      <c r="C444" s="28">
        <v>5034.1111840177036</v>
      </c>
      <c r="D444" s="28">
        <v>4794.3821035533947</v>
      </c>
    </row>
    <row r="445" spans="1:4" x14ac:dyDescent="0.2">
      <c r="A445">
        <v>408</v>
      </c>
      <c r="B445" s="7">
        <v>0.61074273644535459</v>
      </c>
      <c r="C445" s="28">
        <v>8000.7794887618929</v>
      </c>
      <c r="D445" s="28">
        <v>13100.081280258913</v>
      </c>
    </row>
    <row r="446" spans="1:4" x14ac:dyDescent="0.2">
      <c r="A446">
        <v>409</v>
      </c>
      <c r="B446" s="7">
        <v>0.98668560171070929</v>
      </c>
      <c r="C446" s="28">
        <v>5764.3956298058702</v>
      </c>
      <c r="D446" s="28">
        <v>5842.1807512054475</v>
      </c>
    </row>
    <row r="447" spans="1:4" x14ac:dyDescent="0.2">
      <c r="A447">
        <v>410</v>
      </c>
      <c r="B447" s="7">
        <v>1.138944320056023</v>
      </c>
      <c r="C447" s="28">
        <v>5780.8054311431079</v>
      </c>
      <c r="D447" s="28">
        <v>5075.5821240311016</v>
      </c>
    </row>
    <row r="448" spans="1:4" x14ac:dyDescent="0.2">
      <c r="A448">
        <v>411</v>
      </c>
      <c r="B448" s="7">
        <v>0.87510338831552481</v>
      </c>
      <c r="C448" s="28">
        <v>6100.5605349969919</v>
      </c>
      <c r="D448" s="28">
        <v>6971.2454739089535</v>
      </c>
    </row>
    <row r="449" spans="1:4" x14ac:dyDescent="0.2">
      <c r="A449">
        <v>412</v>
      </c>
      <c r="B449" s="7">
        <v>0.75649464909907671</v>
      </c>
      <c r="C449" s="28">
        <v>9147.8219782859724</v>
      </c>
      <c r="D449" s="28">
        <v>12092.38160399453</v>
      </c>
    </row>
    <row r="450" spans="1:4" x14ac:dyDescent="0.2">
      <c r="A450">
        <v>413</v>
      </c>
      <c r="B450" s="7">
        <v>0.77208099265962638</v>
      </c>
      <c r="C450" s="28">
        <v>6814.2252161618671</v>
      </c>
      <c r="D450" s="28">
        <v>8825.7906630864745</v>
      </c>
    </row>
    <row r="451" spans="1:4" x14ac:dyDescent="0.2">
      <c r="A451">
        <v>414</v>
      </c>
      <c r="B451" s="7">
        <v>0.64771620312442302</v>
      </c>
      <c r="C451" s="28">
        <v>6184.1760836803969</v>
      </c>
      <c r="D451" s="28">
        <v>9547.6630873976264</v>
      </c>
    </row>
    <row r="452" spans="1:4" x14ac:dyDescent="0.2">
      <c r="A452">
        <v>415</v>
      </c>
      <c r="B452" s="7">
        <v>0.88770891319642153</v>
      </c>
      <c r="C452" s="28">
        <v>6355.6476665427454</v>
      </c>
      <c r="D452" s="28">
        <v>7159.6078084398414</v>
      </c>
    </row>
    <row r="453" spans="1:4" x14ac:dyDescent="0.2">
      <c r="A453">
        <v>416</v>
      </c>
      <c r="B453" s="7">
        <v>0.88161319781066538</v>
      </c>
      <c r="C453" s="28">
        <v>8669.8894957597859</v>
      </c>
      <c r="D453" s="28">
        <v>9834.1194497654578</v>
      </c>
    </row>
    <row r="454" spans="1:4" x14ac:dyDescent="0.2">
      <c r="A454">
        <v>417</v>
      </c>
      <c r="B454" s="7">
        <v>0.99238963460443141</v>
      </c>
      <c r="C454" s="28">
        <v>5932.4204944011599</v>
      </c>
      <c r="D454" s="28">
        <v>5977.9146088782309</v>
      </c>
    </row>
    <row r="455" spans="1:4" x14ac:dyDescent="0.2">
      <c r="A455">
        <v>418</v>
      </c>
      <c r="B455" s="7">
        <v>0.69365616101544969</v>
      </c>
      <c r="C455" s="28">
        <v>8888.0484159579028</v>
      </c>
      <c r="D455" s="28">
        <v>12813.334495503661</v>
      </c>
    </row>
    <row r="456" spans="1:4" x14ac:dyDescent="0.2">
      <c r="A456">
        <v>419</v>
      </c>
      <c r="B456" s="7">
        <v>0.98116680367869158</v>
      </c>
      <c r="C456" s="28">
        <v>6834.733155063328</v>
      </c>
      <c r="D456" s="28">
        <v>6965.9237648867074</v>
      </c>
    </row>
    <row r="457" spans="1:4" x14ac:dyDescent="0.2">
      <c r="A457">
        <v>420</v>
      </c>
      <c r="B457" s="7">
        <v>0.88184441289708992</v>
      </c>
      <c r="C457" s="29">
        <v>6416.5560099343202</v>
      </c>
      <c r="D457" s="28">
        <v>7276.2903706043253</v>
      </c>
    </row>
    <row r="458" spans="1:4" x14ac:dyDescent="0.2">
      <c r="A458">
        <v>421</v>
      </c>
      <c r="B458" s="7">
        <v>0.87733456569604407</v>
      </c>
      <c r="C458" s="28">
        <v>7526.4283686527879</v>
      </c>
      <c r="D458" s="28">
        <v>8578.7436890527661</v>
      </c>
    </row>
    <row r="459" spans="1:4" x14ac:dyDescent="0.2">
      <c r="A459">
        <v>422</v>
      </c>
      <c r="B459" s="7">
        <v>0.72199735983408253</v>
      </c>
      <c r="C459" s="28">
        <v>8011.8061567805544</v>
      </c>
      <c r="D459" s="28">
        <v>11096.725005506523</v>
      </c>
    </row>
    <row r="460" spans="1:4" x14ac:dyDescent="0.2">
      <c r="A460">
        <v>423</v>
      </c>
      <c r="B460" s="7">
        <v>1.1138746068400636</v>
      </c>
      <c r="C460" s="28">
        <v>6010.0552886480518</v>
      </c>
      <c r="D460" s="28">
        <v>5395.6300392715657</v>
      </c>
    </row>
    <row r="461" spans="1:4" x14ac:dyDescent="0.2">
      <c r="A461">
        <v>424</v>
      </c>
      <c r="B461" s="7">
        <v>1.1202814789305631</v>
      </c>
      <c r="C461" s="28">
        <v>8718.6573333417473</v>
      </c>
      <c r="D461" s="28">
        <v>7782.5595596427283</v>
      </c>
    </row>
    <row r="462" spans="1:4" x14ac:dyDescent="0.2">
      <c r="A462">
        <v>425</v>
      </c>
      <c r="B462" s="7">
        <v>0.99859289523652262</v>
      </c>
      <c r="C462" s="28">
        <v>7057.7399385318022</v>
      </c>
      <c r="D462" s="28">
        <v>7067.6849116377252</v>
      </c>
    </row>
    <row r="463" spans="1:4" x14ac:dyDescent="0.2">
      <c r="A463">
        <v>426</v>
      </c>
      <c r="B463" s="7">
        <v>0.82847192427516525</v>
      </c>
      <c r="C463" s="29">
        <v>7148.0475395933063</v>
      </c>
      <c r="D463" s="28">
        <v>8627.990074433932</v>
      </c>
    </row>
    <row r="464" spans="1:4" x14ac:dyDescent="0.2">
      <c r="A464">
        <v>427</v>
      </c>
      <c r="B464" s="7">
        <v>1.0470662274631621</v>
      </c>
      <c r="C464" s="28">
        <v>7863.6381638629791</v>
      </c>
      <c r="D464" s="28">
        <v>7510.1631182537949</v>
      </c>
    </row>
    <row r="465" spans="1:4" x14ac:dyDescent="0.2">
      <c r="A465">
        <v>428</v>
      </c>
      <c r="B465" s="35">
        <v>0.91429279059984125</v>
      </c>
      <c r="C465" s="36">
        <v>6346.689867130096</v>
      </c>
      <c r="D465" s="36">
        <v>6941.6383158465187</v>
      </c>
    </row>
    <row r="466" spans="1:4" x14ac:dyDescent="0.2">
      <c r="A466">
        <v>429</v>
      </c>
      <c r="B466" s="7">
        <v>0.99872704983682681</v>
      </c>
      <c r="C466" s="28">
        <v>5694.4228344928306</v>
      </c>
      <c r="D466" s="28">
        <v>5701.6807899848036</v>
      </c>
    </row>
    <row r="467" spans="1:4" x14ac:dyDescent="0.2">
      <c r="A467">
        <v>430</v>
      </c>
      <c r="B467" s="7">
        <v>0.64355383056321713</v>
      </c>
      <c r="C467" s="28">
        <v>6702.0793372827529</v>
      </c>
      <c r="D467" s="28">
        <v>10414.170530874339</v>
      </c>
    </row>
    <row r="468" spans="1:4" x14ac:dyDescent="0.2">
      <c r="A468">
        <v>431</v>
      </c>
      <c r="B468" s="7">
        <v>0.54810730398604246</v>
      </c>
      <c r="C468" s="28">
        <v>5629.3275797762508</v>
      </c>
      <c r="D468" s="28">
        <v>10270.484517972418</v>
      </c>
    </row>
    <row r="469" spans="1:4" x14ac:dyDescent="0.2">
      <c r="A469">
        <v>432</v>
      </c>
      <c r="B469" s="7">
        <v>0.75925549751167054</v>
      </c>
      <c r="C469" s="28">
        <v>7955.8942366059828</v>
      </c>
      <c r="D469" s="28">
        <v>10478.546764139423</v>
      </c>
    </row>
    <row r="470" spans="1:4" x14ac:dyDescent="0.2">
      <c r="A470">
        <v>433</v>
      </c>
      <c r="B470" s="7">
        <v>0.51838590571806975</v>
      </c>
      <c r="C470" s="28">
        <v>6906.6617672896355</v>
      </c>
      <c r="D470" s="28">
        <v>13323.398053661405</v>
      </c>
    </row>
    <row r="471" spans="1:4" x14ac:dyDescent="0.2">
      <c r="A471">
        <v>434</v>
      </c>
      <c r="B471" s="7">
        <v>0.88955760586844956</v>
      </c>
      <c r="C471" s="28">
        <v>4999.3957650491575</v>
      </c>
      <c r="D471" s="28">
        <v>5620.0922032119452</v>
      </c>
    </row>
    <row r="472" spans="1:4" x14ac:dyDescent="0.2">
      <c r="A472">
        <v>435</v>
      </c>
      <c r="B472" s="7">
        <v>0.89579480004855938</v>
      </c>
      <c r="C472" s="28">
        <v>8259.7738690365277</v>
      </c>
      <c r="D472" s="28">
        <v>9220.6093053775039</v>
      </c>
    </row>
    <row r="473" spans="1:4" x14ac:dyDescent="0.2">
      <c r="A473">
        <v>436</v>
      </c>
      <c r="B473" s="7">
        <v>0.78535326192731603</v>
      </c>
      <c r="C473" s="28">
        <v>6728.2813997919893</v>
      </c>
      <c r="D473" s="28">
        <v>8567.2037361636212</v>
      </c>
    </row>
    <row r="474" spans="1:4" x14ac:dyDescent="0.2">
      <c r="A474">
        <v>437</v>
      </c>
      <c r="B474" s="7">
        <v>1.0447134122073516</v>
      </c>
      <c r="C474" s="28">
        <v>5424.2517087310844</v>
      </c>
      <c r="D474" s="28">
        <v>5192.0954065960577</v>
      </c>
    </row>
    <row r="475" spans="1:4" x14ac:dyDescent="0.2">
      <c r="A475">
        <v>438</v>
      </c>
      <c r="B475" s="7">
        <v>0.79593881768217933</v>
      </c>
      <c r="C475" s="28">
        <v>9360.5052886561098</v>
      </c>
      <c r="D475" s="28">
        <v>11760.332679733414</v>
      </c>
    </row>
    <row r="476" spans="1:4" x14ac:dyDescent="0.2">
      <c r="A476">
        <v>439</v>
      </c>
      <c r="B476" s="7">
        <v>0.82727169587895855</v>
      </c>
      <c r="C476" s="28">
        <v>5106.001209566035</v>
      </c>
      <c r="D476" s="28">
        <v>6172.0970691992761</v>
      </c>
    </row>
    <row r="477" spans="1:4" x14ac:dyDescent="0.2">
      <c r="A477">
        <v>440</v>
      </c>
      <c r="B477" s="7">
        <v>0.9180327728109976</v>
      </c>
      <c r="C477" s="28">
        <v>8134.4011188770146</v>
      </c>
      <c r="D477" s="28">
        <v>8860.6870689045718</v>
      </c>
    </row>
    <row r="478" spans="1:4" x14ac:dyDescent="0.2">
      <c r="A478">
        <v>441</v>
      </c>
      <c r="B478" s="7">
        <v>1.0533966908366477</v>
      </c>
      <c r="C478" s="28">
        <v>5526.3949113010312</v>
      </c>
      <c r="D478" s="28">
        <v>5246.2618872589755</v>
      </c>
    </row>
    <row r="479" spans="1:4" x14ac:dyDescent="0.2">
      <c r="A479">
        <v>442</v>
      </c>
      <c r="B479" s="7">
        <v>0.70020461467244388</v>
      </c>
      <c r="C479" s="28">
        <v>7002.0710166025729</v>
      </c>
      <c r="D479" s="28">
        <v>10000.035518015182</v>
      </c>
    </row>
    <row r="480" spans="1:4" x14ac:dyDescent="0.2">
      <c r="A480">
        <v>443</v>
      </c>
      <c r="B480" s="7">
        <v>0.79511303703285208</v>
      </c>
      <c r="C480" s="28">
        <v>8365.3635861135735</v>
      </c>
      <c r="D480" s="28">
        <v>10520.973995509947</v>
      </c>
    </row>
    <row r="481" spans="1:4" x14ac:dyDescent="0.2">
      <c r="A481">
        <v>444</v>
      </c>
      <c r="B481" s="7">
        <v>0.819725895693173</v>
      </c>
      <c r="C481" s="28">
        <v>5511.9845015290721</v>
      </c>
      <c r="D481" s="28">
        <v>6724.1800344346229</v>
      </c>
    </row>
    <row r="482" spans="1:4" x14ac:dyDescent="0.2">
      <c r="A482">
        <v>445</v>
      </c>
      <c r="B482" s="7">
        <v>0.82717640518548396</v>
      </c>
      <c r="C482" s="28">
        <v>6276.7210319690421</v>
      </c>
      <c r="D482" s="28">
        <v>7588.1287142874507</v>
      </c>
    </row>
    <row r="483" spans="1:4" x14ac:dyDescent="0.2">
      <c r="A483">
        <v>446</v>
      </c>
      <c r="B483" s="7">
        <v>1.1112830636898812</v>
      </c>
      <c r="C483" s="28">
        <v>8069.5258992130648</v>
      </c>
      <c r="D483" s="28">
        <v>7261.4495468140931</v>
      </c>
    </row>
    <row r="484" spans="1:4" x14ac:dyDescent="0.2">
      <c r="A484">
        <v>447</v>
      </c>
      <c r="B484" s="7">
        <v>0.99982249611527685</v>
      </c>
      <c r="C484" s="28">
        <v>6096.2603491870887</v>
      </c>
      <c r="D484" s="28">
        <v>6097.3426511941634</v>
      </c>
    </row>
    <row r="485" spans="1:4" x14ac:dyDescent="0.2">
      <c r="A485">
        <v>448</v>
      </c>
      <c r="B485" s="7">
        <v>1.0214075213861742</v>
      </c>
      <c r="C485" s="28">
        <v>6192.8711542603905</v>
      </c>
      <c r="D485" s="28">
        <v>6063.0757308854663</v>
      </c>
    </row>
    <row r="486" spans="1:4" x14ac:dyDescent="0.2">
      <c r="A486">
        <v>449</v>
      </c>
      <c r="B486" s="7">
        <v>0.83351670082206564</v>
      </c>
      <c r="C486" s="28">
        <v>5433.3432339892333</v>
      </c>
      <c r="D486" s="28">
        <v>6518.5775265576976</v>
      </c>
    </row>
    <row r="487" spans="1:4" x14ac:dyDescent="0.2">
      <c r="A487">
        <v>450</v>
      </c>
      <c r="B487" s="7">
        <v>0.73952092837607442</v>
      </c>
      <c r="C487" s="28">
        <v>6979.9222300978126</v>
      </c>
      <c r="D487" s="28">
        <v>9438.43772673903</v>
      </c>
    </row>
    <row r="488" spans="1:4" x14ac:dyDescent="0.2">
      <c r="A488">
        <v>451</v>
      </c>
      <c r="B488" s="7">
        <v>1.0022787514473936</v>
      </c>
      <c r="C488" s="28">
        <v>7715.1488705062566</v>
      </c>
      <c r="D488" s="28">
        <v>7697.6079352822635</v>
      </c>
    </row>
    <row r="489" spans="1:4" x14ac:dyDescent="0.2">
      <c r="A489">
        <v>452</v>
      </c>
      <c r="B489" s="7">
        <v>1.0271524548259707</v>
      </c>
      <c r="C489" s="28">
        <v>6503.8393273793445</v>
      </c>
      <c r="D489" s="28">
        <v>6331.912362981484</v>
      </c>
    </row>
    <row r="490" spans="1:4" x14ac:dyDescent="0.2">
      <c r="A490">
        <v>453</v>
      </c>
      <c r="B490" s="7">
        <v>0.52536778449622901</v>
      </c>
      <c r="C490" s="28">
        <v>9169.1596848074132</v>
      </c>
      <c r="D490" s="28">
        <v>17452.839620913655</v>
      </c>
    </row>
    <row r="491" spans="1:4" x14ac:dyDescent="0.2">
      <c r="A491">
        <v>454</v>
      </c>
      <c r="B491" s="7">
        <v>0.75425297217960274</v>
      </c>
      <c r="C491" s="28">
        <v>5570.1855268509389</v>
      </c>
      <c r="D491" s="28">
        <v>7385.0362309537786</v>
      </c>
    </row>
    <row r="492" spans="1:4" x14ac:dyDescent="0.2">
      <c r="A492">
        <v>455</v>
      </c>
      <c r="B492" s="7">
        <v>0.93476161259701485</v>
      </c>
      <c r="C492" s="28">
        <v>7449.9961642776798</v>
      </c>
      <c r="D492" s="28">
        <v>7969.9423509483031</v>
      </c>
    </row>
    <row r="493" spans="1:4" x14ac:dyDescent="0.2">
      <c r="A493">
        <v>456</v>
      </c>
      <c r="B493" s="7">
        <v>0.69813058012941553</v>
      </c>
      <c r="C493" s="28">
        <v>9195.0333812664794</v>
      </c>
      <c r="D493" s="28">
        <v>13170.93627321404</v>
      </c>
    </row>
    <row r="494" spans="1:4" x14ac:dyDescent="0.2">
      <c r="A494">
        <v>457</v>
      </c>
      <c r="B494" s="7">
        <v>0.87610077889318205</v>
      </c>
      <c r="C494" s="28">
        <v>6354.1392511211234</v>
      </c>
      <c r="D494" s="28">
        <v>7252.74923182764</v>
      </c>
    </row>
    <row r="495" spans="1:4" x14ac:dyDescent="0.2">
      <c r="A495">
        <v>458</v>
      </c>
      <c r="B495" s="7">
        <v>0.83292860581170469</v>
      </c>
      <c r="C495" s="28">
        <v>7388.9453392843971</v>
      </c>
      <c r="D495" s="28">
        <v>8871.0428333575237</v>
      </c>
    </row>
    <row r="496" spans="1:4" x14ac:dyDescent="0.2">
      <c r="A496">
        <v>459</v>
      </c>
      <c r="B496" s="7">
        <v>1.0872786573266522</v>
      </c>
      <c r="C496" s="28">
        <v>5628.121899290727</v>
      </c>
      <c r="D496" s="28">
        <v>5176.3380632605067</v>
      </c>
    </row>
    <row r="497" spans="1:4" x14ac:dyDescent="0.2">
      <c r="A497">
        <v>460</v>
      </c>
      <c r="B497" s="7">
        <v>0.75564551376096745</v>
      </c>
      <c r="C497" s="28">
        <v>8038.4984481971369</v>
      </c>
      <c r="D497" s="28">
        <v>10637.922546761716</v>
      </c>
    </row>
    <row r="498" spans="1:4" x14ac:dyDescent="0.2">
      <c r="A498">
        <v>461</v>
      </c>
      <c r="B498" s="7">
        <v>0.96722370328920526</v>
      </c>
      <c r="C498" s="28">
        <v>7619.5648677871995</v>
      </c>
      <c r="D498" s="28">
        <v>7877.768960660911</v>
      </c>
    </row>
    <row r="499" spans="1:4" x14ac:dyDescent="0.2">
      <c r="A499">
        <v>462</v>
      </c>
      <c r="B499" s="7">
        <v>0.85126174246909603</v>
      </c>
      <c r="C499" s="29">
        <v>6953.148962120491</v>
      </c>
      <c r="D499" s="28">
        <v>8168.0505715583904</v>
      </c>
    </row>
    <row r="500" spans="1:4" x14ac:dyDescent="0.2">
      <c r="A500">
        <v>463</v>
      </c>
      <c r="B500" s="7">
        <v>0.64231102699276654</v>
      </c>
      <c r="C500" s="28">
        <v>7875.5375217767541</v>
      </c>
      <c r="D500" s="28">
        <v>12261.252245114336</v>
      </c>
    </row>
    <row r="501" spans="1:4" x14ac:dyDescent="0.2">
      <c r="A501">
        <v>464</v>
      </c>
      <c r="B501" s="7">
        <v>1.0480137545101584</v>
      </c>
      <c r="C501" s="28">
        <v>8251.7265583166609</v>
      </c>
      <c r="D501" s="28">
        <v>7873.6815454998659</v>
      </c>
    </row>
    <row r="502" spans="1:4" x14ac:dyDescent="0.2">
      <c r="A502">
        <v>465</v>
      </c>
      <c r="B502" s="7">
        <v>0.64176965603943348</v>
      </c>
      <c r="C502" s="28">
        <v>4876.0515538826021</v>
      </c>
      <c r="D502" s="28">
        <v>7597.8219100826318</v>
      </c>
    </row>
    <row r="503" spans="1:4" x14ac:dyDescent="0.2">
      <c r="A503">
        <v>466</v>
      </c>
      <c r="B503" s="7">
        <v>1.1611882138971836</v>
      </c>
      <c r="C503" s="28">
        <v>6714.436987754194</v>
      </c>
      <c r="D503" s="28">
        <v>5782.384722300254</v>
      </c>
    </row>
    <row r="504" spans="1:4" x14ac:dyDescent="0.2">
      <c r="A504">
        <v>467</v>
      </c>
      <c r="B504" s="7">
        <v>0.76906623819954234</v>
      </c>
      <c r="C504" s="28">
        <v>6600.3191441145264</v>
      </c>
      <c r="D504" s="28">
        <v>8582.2505478416333</v>
      </c>
    </row>
    <row r="505" spans="1:4" x14ac:dyDescent="0.2">
      <c r="A505">
        <v>468</v>
      </c>
      <c r="B505" s="7">
        <v>0.80726522413018209</v>
      </c>
      <c r="C505" s="29">
        <v>6720.0104219537716</v>
      </c>
      <c r="D505" s="28">
        <v>8324.4146051187781</v>
      </c>
    </row>
    <row r="506" spans="1:4" x14ac:dyDescent="0.2">
      <c r="A506">
        <v>469</v>
      </c>
      <c r="B506" s="7">
        <v>0.78758250299509669</v>
      </c>
      <c r="C506" s="28">
        <v>5344.4894417479109</v>
      </c>
      <c r="D506" s="28">
        <v>6785.9423253098657</v>
      </c>
    </row>
    <row r="507" spans="1:4" x14ac:dyDescent="0.2">
      <c r="A507">
        <v>470</v>
      </c>
      <c r="B507" s="7">
        <v>0.82103406840992665</v>
      </c>
      <c r="C507" s="28">
        <v>4487.3577577957185</v>
      </c>
      <c r="D507" s="28">
        <v>5465.4951973993684</v>
      </c>
    </row>
    <row r="508" spans="1:4" x14ac:dyDescent="0.2">
      <c r="A508">
        <v>471</v>
      </c>
      <c r="B508" s="7">
        <v>0.97639396761539743</v>
      </c>
      <c r="C508" s="28">
        <v>6071.1182138651402</v>
      </c>
      <c r="D508" s="28">
        <v>6217.8981182077105</v>
      </c>
    </row>
    <row r="509" spans="1:4" x14ac:dyDescent="0.2">
      <c r="A509">
        <v>472</v>
      </c>
      <c r="B509" s="35">
        <v>0.92567078580695661</v>
      </c>
      <c r="C509" s="36">
        <v>7225.4496096706162</v>
      </c>
      <c r="D509" s="36">
        <v>7805.6364319327704</v>
      </c>
    </row>
    <row r="510" spans="1:4" x14ac:dyDescent="0.2">
      <c r="A510">
        <v>473</v>
      </c>
      <c r="B510" s="7">
        <v>1.1314823831276968</v>
      </c>
      <c r="C510" s="28">
        <v>6130.4541817116351</v>
      </c>
      <c r="D510" s="28">
        <v>5418.073028026778</v>
      </c>
    </row>
    <row r="511" spans="1:4" x14ac:dyDescent="0.2">
      <c r="A511">
        <v>474</v>
      </c>
      <c r="B511" s="7">
        <v>0.78164194701714607</v>
      </c>
      <c r="C511" s="28">
        <v>7432.6047497700565</v>
      </c>
      <c r="D511" s="28">
        <v>9508.9635070557633</v>
      </c>
    </row>
    <row r="512" spans="1:4" x14ac:dyDescent="0.2">
      <c r="A512">
        <v>475</v>
      </c>
      <c r="B512" s="7">
        <v>0.74452118390138988</v>
      </c>
      <c r="C512" s="28">
        <v>6028.3103265223799</v>
      </c>
      <c r="D512" s="28">
        <v>8096.8956382587166</v>
      </c>
    </row>
    <row r="513" spans="1:4" x14ac:dyDescent="0.2">
      <c r="A513">
        <v>476</v>
      </c>
      <c r="B513" s="7">
        <v>0.91782291410938921</v>
      </c>
      <c r="C513" s="28">
        <v>6116.2651626743409</v>
      </c>
      <c r="D513" s="28">
        <v>6663.883706378444</v>
      </c>
    </row>
    <row r="514" spans="1:4" x14ac:dyDescent="0.2">
      <c r="A514">
        <v>477</v>
      </c>
      <c r="B514" s="7">
        <v>0.71561340460625367</v>
      </c>
      <c r="C514" s="28">
        <v>6689.7456610007175</v>
      </c>
      <c r="D514" s="28">
        <v>9348.2676790851383</v>
      </c>
    </row>
    <row r="515" spans="1:4" x14ac:dyDescent="0.2">
      <c r="A515">
        <v>478</v>
      </c>
      <c r="B515" s="7">
        <v>0.85853896766359483</v>
      </c>
      <c r="C515" s="28">
        <v>5974.4868973662124</v>
      </c>
      <c r="D515" s="28">
        <v>6958.9000876978507</v>
      </c>
    </row>
    <row r="516" spans="1:4" x14ac:dyDescent="0.2">
      <c r="A516">
        <v>479</v>
      </c>
      <c r="B516" s="7">
        <v>0.74850547216660779</v>
      </c>
      <c r="C516" s="28">
        <v>9782.9209512179532</v>
      </c>
      <c r="D516" s="28">
        <v>13069.939118682087</v>
      </c>
    </row>
    <row r="517" spans="1:4" x14ac:dyDescent="0.2">
      <c r="A517">
        <v>480</v>
      </c>
      <c r="B517" s="7">
        <v>0.65823605734674651</v>
      </c>
      <c r="C517" s="28">
        <v>8094.6591402813174</v>
      </c>
      <c r="D517" s="28">
        <v>12297.501861125182</v>
      </c>
    </row>
    <row r="518" spans="1:4" x14ac:dyDescent="0.2">
      <c r="A518">
        <v>481</v>
      </c>
      <c r="B518" s="7">
        <v>0.90209339064765004</v>
      </c>
      <c r="C518" s="28">
        <v>5409.3222702059957</v>
      </c>
      <c r="D518" s="28">
        <v>5996.4104895197379</v>
      </c>
    </row>
    <row r="519" spans="1:4" x14ac:dyDescent="0.2">
      <c r="A519">
        <v>482</v>
      </c>
      <c r="B519" s="7">
        <v>1.0837324317497101</v>
      </c>
      <c r="C519" s="28">
        <v>7252.3872605225351</v>
      </c>
      <c r="D519" s="28">
        <v>6692.0459774497976</v>
      </c>
    </row>
    <row r="520" spans="1:4" x14ac:dyDescent="0.2">
      <c r="A520">
        <v>483</v>
      </c>
      <c r="B520" s="7">
        <v>0.63915167416861962</v>
      </c>
      <c r="C520" s="28">
        <v>7485.3105597187805</v>
      </c>
      <c r="D520" s="28">
        <v>11711.321212535888</v>
      </c>
    </row>
    <row r="521" spans="1:4" x14ac:dyDescent="0.2">
      <c r="A521">
        <v>484</v>
      </c>
      <c r="B521" s="7">
        <v>0.78811732441359883</v>
      </c>
      <c r="C521" s="28">
        <v>6780.1075147654119</v>
      </c>
      <c r="D521" s="28">
        <v>8602.9164754247377</v>
      </c>
    </row>
    <row r="522" spans="1:4" x14ac:dyDescent="0.2">
      <c r="A522">
        <v>485</v>
      </c>
      <c r="B522" s="7">
        <v>0.80807960578428961</v>
      </c>
      <c r="C522" s="29">
        <v>7874.9314455270487</v>
      </c>
      <c r="D522" s="28">
        <v>9745.2421632197438</v>
      </c>
    </row>
    <row r="523" spans="1:4" x14ac:dyDescent="0.2">
      <c r="A523">
        <v>486</v>
      </c>
      <c r="B523" s="7">
        <v>1.0995285666592025</v>
      </c>
      <c r="C523" s="28">
        <v>6877.5247213290513</v>
      </c>
      <c r="D523" s="28">
        <v>6254.975932299476</v>
      </c>
    </row>
    <row r="524" spans="1:4" x14ac:dyDescent="0.2">
      <c r="A524">
        <v>487</v>
      </c>
      <c r="B524" s="7">
        <v>1.0681249089949789</v>
      </c>
      <c r="C524" s="28">
        <v>5888.1278749757385</v>
      </c>
      <c r="D524" s="28">
        <v>5512.5836176931789</v>
      </c>
    </row>
    <row r="525" spans="1:4" x14ac:dyDescent="0.2">
      <c r="A525">
        <v>488</v>
      </c>
      <c r="B525" s="7">
        <v>0.82125204094778059</v>
      </c>
      <c r="C525" s="28">
        <v>7579.7230593181157</v>
      </c>
      <c r="D525" s="28">
        <v>9229.4724169824913</v>
      </c>
    </row>
    <row r="526" spans="1:4" x14ac:dyDescent="0.2">
      <c r="A526">
        <v>489</v>
      </c>
      <c r="B526" s="7">
        <v>0.7635772614391465</v>
      </c>
      <c r="C526" s="28">
        <v>6687.338128929392</v>
      </c>
      <c r="D526" s="28">
        <v>8757.9063267618549</v>
      </c>
    </row>
    <row r="527" spans="1:4" x14ac:dyDescent="0.2">
      <c r="A527">
        <v>490</v>
      </c>
      <c r="B527" s="7">
        <v>0.85623221944646488</v>
      </c>
      <c r="C527" s="28">
        <v>5769.6197406815481</v>
      </c>
      <c r="D527" s="28">
        <v>6738.381959524344</v>
      </c>
    </row>
    <row r="528" spans="1:4" x14ac:dyDescent="0.2">
      <c r="A528">
        <v>491</v>
      </c>
      <c r="B528" s="7">
        <v>0.72758077406737609</v>
      </c>
      <c r="C528" s="28">
        <v>6707.0681692617254</v>
      </c>
      <c r="D528" s="28">
        <v>9218.3141835474489</v>
      </c>
    </row>
    <row r="529" spans="1:4" x14ac:dyDescent="0.2">
      <c r="A529">
        <v>492</v>
      </c>
      <c r="B529" s="7">
        <v>0.87573332897493916</v>
      </c>
      <c r="C529" s="28">
        <v>5907.952710784406</v>
      </c>
      <c r="D529" s="28">
        <v>6746.2919536244735</v>
      </c>
    </row>
    <row r="530" spans="1:4" x14ac:dyDescent="0.2">
      <c r="A530">
        <v>493</v>
      </c>
      <c r="B530" s="7">
        <v>0.90139834852022993</v>
      </c>
      <c r="C530" s="28">
        <v>7394.5193637058474</v>
      </c>
      <c r="D530" s="28">
        <v>8203.3868553730699</v>
      </c>
    </row>
    <row r="531" spans="1:4" x14ac:dyDescent="0.2">
      <c r="A531">
        <v>494</v>
      </c>
      <c r="B531" s="7">
        <v>0.99987464737329645</v>
      </c>
      <c r="C531" s="28">
        <v>4558.5082746657445</v>
      </c>
      <c r="D531" s="28">
        <v>4559.0797672899253</v>
      </c>
    </row>
    <row r="532" spans="1:4" x14ac:dyDescent="0.2">
      <c r="A532">
        <v>495</v>
      </c>
      <c r="B532" s="7">
        <v>1.085018846467368</v>
      </c>
      <c r="C532" s="28">
        <v>6294.913601519962</v>
      </c>
      <c r="D532" s="28">
        <v>5801.6629130591618</v>
      </c>
    </row>
    <row r="533" spans="1:4" x14ac:dyDescent="0.2">
      <c r="A533">
        <v>496</v>
      </c>
      <c r="B533" s="35">
        <v>0.74578515536100376</v>
      </c>
      <c r="C533" s="36">
        <v>7290.233371111035</v>
      </c>
      <c r="D533" s="36">
        <v>9775.2460191864975</v>
      </c>
    </row>
    <row r="534" spans="1:4" x14ac:dyDescent="0.2">
      <c r="A534">
        <v>497</v>
      </c>
      <c r="B534" s="7">
        <v>0.80229528592357724</v>
      </c>
      <c r="C534" s="28">
        <v>7265.5368658870993</v>
      </c>
      <c r="D534" s="28">
        <v>9055.9386218046147</v>
      </c>
    </row>
    <row r="535" spans="1:4" x14ac:dyDescent="0.2">
      <c r="A535">
        <v>498</v>
      </c>
      <c r="B535" s="7">
        <v>0.95056725666246056</v>
      </c>
      <c r="C535" s="28">
        <v>5785.3053709948581</v>
      </c>
      <c r="D535" s="28">
        <v>6086.1610059109971</v>
      </c>
    </row>
    <row r="536" spans="1:4" x14ac:dyDescent="0.2">
      <c r="A536">
        <v>499</v>
      </c>
      <c r="B536" s="7">
        <v>0.86981350266649127</v>
      </c>
      <c r="C536" s="28">
        <v>5944.7255084544176</v>
      </c>
      <c r="D536" s="28">
        <v>6834.4828980354168</v>
      </c>
    </row>
    <row r="537" spans="1:4" x14ac:dyDescent="0.2">
      <c r="A537">
        <v>500</v>
      </c>
      <c r="B537" s="7">
        <v>0.89056233923351868</v>
      </c>
      <c r="C537" s="28">
        <v>7286.4338510905782</v>
      </c>
      <c r="D537" s="28">
        <v>8181.834701613142</v>
      </c>
    </row>
    <row r="538" spans="1:4" x14ac:dyDescent="0.2">
      <c r="A538">
        <v>501</v>
      </c>
      <c r="B538" s="7">
        <v>0.86549400890929729</v>
      </c>
      <c r="C538" s="28">
        <v>8631.1894195618279</v>
      </c>
      <c r="D538" s="28">
        <v>9972.5582507947383</v>
      </c>
    </row>
    <row r="539" spans="1:4" x14ac:dyDescent="0.2">
      <c r="A539">
        <v>502</v>
      </c>
      <c r="B539" s="7">
        <v>0.85879951373816432</v>
      </c>
      <c r="C539" s="28">
        <v>6185.1854730376754</v>
      </c>
      <c r="D539" s="28">
        <v>7202.1296869567741</v>
      </c>
    </row>
    <row r="540" spans="1:4" x14ac:dyDescent="0.2">
      <c r="A540">
        <v>503</v>
      </c>
      <c r="B540" s="7">
        <v>0.909996268069305</v>
      </c>
      <c r="C540" s="28">
        <v>7910.9155102742061</v>
      </c>
      <c r="D540" s="28">
        <v>8693.3493991776613</v>
      </c>
    </row>
    <row r="541" spans="1:4" x14ac:dyDescent="0.2">
      <c r="A541">
        <v>504</v>
      </c>
      <c r="B541" s="7">
        <v>0.97791278533967674</v>
      </c>
      <c r="C541" s="28">
        <v>7741.7218233996891</v>
      </c>
      <c r="D541" s="28">
        <v>7916.5769580470433</v>
      </c>
    </row>
    <row r="542" spans="1:4" x14ac:dyDescent="0.2">
      <c r="A542">
        <v>505</v>
      </c>
      <c r="B542" s="7">
        <v>1.0189859474395639</v>
      </c>
      <c r="C542" s="28">
        <v>6495.1413659478567</v>
      </c>
      <c r="D542" s="28">
        <v>6374.1226091178096</v>
      </c>
    </row>
    <row r="543" spans="1:4" x14ac:dyDescent="0.2">
      <c r="A543">
        <v>506</v>
      </c>
      <c r="B543" s="35">
        <v>0.5533166215900609</v>
      </c>
      <c r="C543" s="36">
        <v>6757.4280844291561</v>
      </c>
      <c r="D543" s="36">
        <v>12212.588273618814</v>
      </c>
    </row>
    <row r="544" spans="1:4" x14ac:dyDescent="0.2">
      <c r="A544">
        <v>507</v>
      </c>
      <c r="B544" s="7">
        <v>0.77856362133293722</v>
      </c>
      <c r="C544" s="28">
        <v>6206.1714907511778</v>
      </c>
      <c r="D544" s="28">
        <v>7971.3093711287493</v>
      </c>
    </row>
    <row r="545" spans="1:4" x14ac:dyDescent="0.2">
      <c r="A545">
        <v>508</v>
      </c>
      <c r="B545" s="7">
        <v>0.8183098929649244</v>
      </c>
      <c r="C545" s="28">
        <v>5356.2925118418398</v>
      </c>
      <c r="D545" s="28">
        <v>6545.5551226867901</v>
      </c>
    </row>
    <row r="546" spans="1:4" x14ac:dyDescent="0.2">
      <c r="A546">
        <v>509</v>
      </c>
      <c r="B546" s="7">
        <v>0.77248567641580301</v>
      </c>
      <c r="C546" s="28">
        <v>8882.3728997390608</v>
      </c>
      <c r="D546" s="28">
        <v>11498.430548190487</v>
      </c>
    </row>
    <row r="547" spans="1:4" x14ac:dyDescent="0.2">
      <c r="A547">
        <v>510</v>
      </c>
      <c r="B547" s="7">
        <v>0.8129213954824035</v>
      </c>
      <c r="C547" s="28">
        <v>7942.7115601505275</v>
      </c>
      <c r="D547" s="28">
        <v>9770.5775789517338</v>
      </c>
    </row>
    <row r="548" spans="1:4" x14ac:dyDescent="0.2">
      <c r="A548">
        <v>511</v>
      </c>
      <c r="B548" s="7">
        <v>0.95981406534209679</v>
      </c>
      <c r="C548" s="28">
        <v>6097.2648469794913</v>
      </c>
      <c r="D548" s="28">
        <v>6352.547922712828</v>
      </c>
    </row>
    <row r="549" spans="1:4" x14ac:dyDescent="0.2">
      <c r="A549">
        <v>512</v>
      </c>
      <c r="B549" s="7">
        <v>0.81756055375191128</v>
      </c>
      <c r="C549" s="28">
        <v>8424.3760735786636</v>
      </c>
      <c r="D549" s="28">
        <v>10304.283927249064</v>
      </c>
    </row>
    <row r="550" spans="1:4" x14ac:dyDescent="0.2">
      <c r="A550">
        <v>513</v>
      </c>
      <c r="B550" s="7">
        <v>0.88308962047704931</v>
      </c>
      <c r="C550" s="28">
        <v>7286.620751306582</v>
      </c>
      <c r="D550" s="28">
        <v>8251.2811637060277</v>
      </c>
    </row>
    <row r="551" spans="1:4" x14ac:dyDescent="0.2">
      <c r="A551">
        <v>514</v>
      </c>
      <c r="B551" s="7">
        <v>1.1313949873899265</v>
      </c>
      <c r="C551" s="28">
        <v>6209.9905470490285</v>
      </c>
      <c r="D551" s="28">
        <v>5488.7909317816375</v>
      </c>
    </row>
    <row r="552" spans="1:4" x14ac:dyDescent="0.2">
      <c r="A552">
        <v>515</v>
      </c>
      <c r="B552" s="7">
        <v>0.70579593066816493</v>
      </c>
      <c r="C552" s="28">
        <v>6009.5076157107706</v>
      </c>
      <c r="D552" s="28">
        <v>8514.5115671348121</v>
      </c>
    </row>
    <row r="553" spans="1:4" x14ac:dyDescent="0.2">
      <c r="A553">
        <v>516</v>
      </c>
      <c r="B553" s="7">
        <v>0.93361597892579073</v>
      </c>
      <c r="C553" s="28">
        <v>8751.9768526091866</v>
      </c>
      <c r="D553" s="28">
        <v>9374.2792006185718</v>
      </c>
    </row>
    <row r="554" spans="1:4" x14ac:dyDescent="0.2">
      <c r="A554">
        <v>517</v>
      </c>
      <c r="B554" s="7">
        <v>0.87269693139569959</v>
      </c>
      <c r="C554" s="28">
        <v>6583.432384672944</v>
      </c>
      <c r="D554" s="28">
        <v>7543.7785419321863</v>
      </c>
    </row>
    <row r="555" spans="1:4" x14ac:dyDescent="0.2">
      <c r="A555">
        <v>518</v>
      </c>
      <c r="B555" s="7">
        <v>0.79487786121369464</v>
      </c>
      <c r="C555" s="28">
        <v>8652.9919854332438</v>
      </c>
      <c r="D555" s="28">
        <v>10885.939095373769</v>
      </c>
    </row>
    <row r="556" spans="1:4" x14ac:dyDescent="0.2">
      <c r="A556">
        <v>519</v>
      </c>
      <c r="B556" s="7">
        <v>0.7573248288474641</v>
      </c>
      <c r="C556" s="28">
        <v>4813.7280278859926</v>
      </c>
      <c r="D556" s="28">
        <v>6356.2263437365073</v>
      </c>
    </row>
    <row r="557" spans="1:4" x14ac:dyDescent="0.2">
      <c r="A557">
        <v>520</v>
      </c>
      <c r="B557" s="7">
        <v>0.97158773725353242</v>
      </c>
      <c r="C557" s="28">
        <v>7504.8451599545733</v>
      </c>
      <c r="D557" s="28">
        <v>7724.3102935501647</v>
      </c>
    </row>
    <row r="558" spans="1:4" x14ac:dyDescent="0.2">
      <c r="A558">
        <v>521</v>
      </c>
      <c r="B558" s="7">
        <v>0.71753295443824072</v>
      </c>
      <c r="C558" s="28">
        <v>7225.3944242671887</v>
      </c>
      <c r="D558" s="28">
        <v>10069.773631406208</v>
      </c>
    </row>
    <row r="559" spans="1:4" x14ac:dyDescent="0.2">
      <c r="A559">
        <v>522</v>
      </c>
      <c r="B559" s="7">
        <v>0.61668588733945384</v>
      </c>
      <c r="C559" s="28">
        <v>7508.6097482194709</v>
      </c>
      <c r="D559" s="28">
        <v>12175.74441441104</v>
      </c>
    </row>
    <row r="560" spans="1:4" x14ac:dyDescent="0.2">
      <c r="A560">
        <v>523</v>
      </c>
      <c r="B560" s="7">
        <v>0.84764026022689709</v>
      </c>
      <c r="C560" s="28">
        <v>6597.8175159520761</v>
      </c>
      <c r="D560" s="28">
        <v>7783.7472162848499</v>
      </c>
    </row>
    <row r="561" spans="1:4" x14ac:dyDescent="0.2">
      <c r="A561">
        <v>524</v>
      </c>
      <c r="B561" s="7">
        <v>0.71048452742065038</v>
      </c>
      <c r="C561" s="28">
        <v>7631.6751350026771</v>
      </c>
      <c r="D561" s="28">
        <v>10741.507859022322</v>
      </c>
    </row>
    <row r="562" spans="1:4" x14ac:dyDescent="0.2">
      <c r="A562">
        <v>525</v>
      </c>
      <c r="B562" s="7">
        <v>0.88984453404385189</v>
      </c>
      <c r="C562" s="28">
        <v>6735.583059519322</v>
      </c>
      <c r="D562" s="28">
        <v>7569.3930814069481</v>
      </c>
    </row>
    <row r="563" spans="1:4" x14ac:dyDescent="0.2">
      <c r="A563">
        <v>526</v>
      </c>
      <c r="B563" s="7">
        <v>0.72775145564880894</v>
      </c>
      <c r="C563" s="28">
        <v>8164.2105957228305</v>
      </c>
      <c r="D563" s="28">
        <v>11218.405036983717</v>
      </c>
    </row>
    <row r="564" spans="1:4" x14ac:dyDescent="0.2">
      <c r="A564">
        <v>527</v>
      </c>
      <c r="B564" s="7">
        <v>0.8201215726151645</v>
      </c>
      <c r="C564" s="28">
        <v>7939.8098351696026</v>
      </c>
      <c r="D564" s="28">
        <v>9681.2595842973824</v>
      </c>
    </row>
    <row r="565" spans="1:4" x14ac:dyDescent="0.2">
      <c r="A565">
        <v>528</v>
      </c>
      <c r="B565" s="7">
        <v>0.78098924207131315</v>
      </c>
      <c r="C565" s="28">
        <v>7117.8988599371169</v>
      </c>
      <c r="D565" s="28">
        <v>9113.9525060028573</v>
      </c>
    </row>
    <row r="566" spans="1:4" x14ac:dyDescent="0.2">
      <c r="A566">
        <v>529</v>
      </c>
      <c r="B566" s="7">
        <v>0.87521938574014158</v>
      </c>
      <c r="C566" s="28">
        <v>6867.5952711620703</v>
      </c>
      <c r="D566" s="28">
        <v>7846.7129305578528</v>
      </c>
    </row>
    <row r="567" spans="1:4" x14ac:dyDescent="0.2">
      <c r="A567">
        <v>530</v>
      </c>
      <c r="B567" s="7">
        <v>0.97354457228073787</v>
      </c>
      <c r="C567" s="28">
        <v>6995.4678774357053</v>
      </c>
      <c r="D567" s="28">
        <v>7185.5650748966891</v>
      </c>
    </row>
    <row r="568" spans="1:4" x14ac:dyDescent="0.2">
      <c r="A568">
        <v>531</v>
      </c>
      <c r="B568" s="7">
        <v>1.0873808869059776</v>
      </c>
      <c r="C568" s="28">
        <v>5501.7192122203769</v>
      </c>
      <c r="D568" s="28">
        <v>5059.6063242153468</v>
      </c>
    </row>
    <row r="569" spans="1:4" x14ac:dyDescent="0.2">
      <c r="A569">
        <v>532</v>
      </c>
      <c r="B569" s="7">
        <v>0.80422389543742767</v>
      </c>
      <c r="C569" s="28">
        <v>5402.1325253354971</v>
      </c>
      <c r="D569" s="28">
        <v>6717.1997201068098</v>
      </c>
    </row>
    <row r="570" spans="1:4" x14ac:dyDescent="0.2">
      <c r="A570">
        <v>533</v>
      </c>
      <c r="B570" s="7">
        <v>0.70567816108620374</v>
      </c>
      <c r="C570" s="28">
        <v>5824.0805631240528</v>
      </c>
      <c r="D570" s="28">
        <v>8253.1682065368586</v>
      </c>
    </row>
    <row r="571" spans="1:4" x14ac:dyDescent="0.2">
      <c r="A571">
        <v>534</v>
      </c>
      <c r="B571" s="7">
        <v>0.68949690301320832</v>
      </c>
      <c r="C571" s="28">
        <v>7103.1090747693634</v>
      </c>
      <c r="D571" s="28">
        <v>10301.872341598166</v>
      </c>
    </row>
    <row r="572" spans="1:4" x14ac:dyDescent="0.2">
      <c r="A572">
        <v>535</v>
      </c>
      <c r="B572" s="7">
        <v>0.81610510783123758</v>
      </c>
      <c r="C572" s="28">
        <v>6645.4772315355785</v>
      </c>
      <c r="D572" s="28">
        <v>8142.9183174648106</v>
      </c>
    </row>
    <row r="573" spans="1:4" x14ac:dyDescent="0.2">
      <c r="A573">
        <v>536</v>
      </c>
      <c r="B573" s="7">
        <v>0.61609061798689879</v>
      </c>
      <c r="C573" s="28">
        <v>5923.1859099583853</v>
      </c>
      <c r="D573" s="28">
        <v>9614.1472326143139</v>
      </c>
    </row>
    <row r="574" spans="1:4" x14ac:dyDescent="0.2">
      <c r="A574">
        <v>537</v>
      </c>
      <c r="B574" s="7">
        <v>1.0050742056145783</v>
      </c>
      <c r="C574" s="28">
        <v>5790.6468727756346</v>
      </c>
      <c r="D574" s="28">
        <v>5761.4122822252666</v>
      </c>
    </row>
    <row r="575" spans="1:4" x14ac:dyDescent="0.2">
      <c r="A575">
        <v>538</v>
      </c>
      <c r="B575" s="7">
        <v>0.99861920153791228</v>
      </c>
      <c r="C575" s="28">
        <v>6092.0797174399231</v>
      </c>
      <c r="D575" s="28">
        <v>6100.5032829910378</v>
      </c>
    </row>
    <row r="576" spans="1:4" x14ac:dyDescent="0.2">
      <c r="A576">
        <v>539</v>
      </c>
      <c r="B576" s="7">
        <v>0.72028461670955757</v>
      </c>
      <c r="C576" s="28">
        <v>5664.1834780227628</v>
      </c>
      <c r="D576" s="28">
        <v>7863.8129242551177</v>
      </c>
    </row>
    <row r="577" spans="1:4" x14ac:dyDescent="0.2">
      <c r="A577">
        <v>540</v>
      </c>
      <c r="B577" s="7">
        <v>0.7229296177894291</v>
      </c>
      <c r="C577" s="28">
        <v>7123.8855658890934</v>
      </c>
      <c r="D577" s="28">
        <v>9854.1896618822702</v>
      </c>
    </row>
    <row r="578" spans="1:4" x14ac:dyDescent="0.2">
      <c r="A578">
        <v>541</v>
      </c>
      <c r="B578" s="7">
        <v>0.85375610773542565</v>
      </c>
      <c r="C578" s="28">
        <v>6491.5590963187569</v>
      </c>
      <c r="D578" s="28">
        <v>7603.52873320873</v>
      </c>
    </row>
    <row r="579" spans="1:4" x14ac:dyDescent="0.2">
      <c r="A579">
        <v>542</v>
      </c>
      <c r="B579" s="7">
        <v>0.94732253971304736</v>
      </c>
      <c r="C579" s="28">
        <v>6733.6688926399347</v>
      </c>
      <c r="D579" s="28">
        <v>7108.1058566173506</v>
      </c>
    </row>
    <row r="580" spans="1:4" x14ac:dyDescent="0.2">
      <c r="A580">
        <v>543</v>
      </c>
      <c r="B580" s="7">
        <v>0.79425812288310382</v>
      </c>
      <c r="C580" s="28">
        <v>5857.6973457968297</v>
      </c>
      <c r="D580" s="28">
        <v>7375.0550067197055</v>
      </c>
    </row>
    <row r="581" spans="1:4" x14ac:dyDescent="0.2">
      <c r="A581">
        <v>544</v>
      </c>
      <c r="B581" s="7">
        <v>1.009626886494023</v>
      </c>
      <c r="C581" s="28">
        <v>8224.3509329402204</v>
      </c>
      <c r="D581" s="28">
        <v>8145.9309800075425</v>
      </c>
    </row>
    <row r="582" spans="1:4" x14ac:dyDescent="0.2">
      <c r="A582">
        <v>545</v>
      </c>
      <c r="B582" s="7">
        <v>0.96975654524518085</v>
      </c>
      <c r="C582" s="28">
        <v>5319.5401899722183</v>
      </c>
      <c r="D582" s="28">
        <v>5485.4388104462796</v>
      </c>
    </row>
    <row r="583" spans="1:4" x14ac:dyDescent="0.2">
      <c r="A583">
        <v>546</v>
      </c>
      <c r="B583" s="7">
        <v>0.73655185358446928</v>
      </c>
      <c r="C583" s="28">
        <v>7799.7916133982208</v>
      </c>
      <c r="D583" s="28">
        <v>10589.602857477195</v>
      </c>
    </row>
    <row r="584" spans="1:4" x14ac:dyDescent="0.2">
      <c r="A584">
        <v>547</v>
      </c>
      <c r="B584" s="7">
        <v>0.79589036944107328</v>
      </c>
      <c r="C584" s="28">
        <v>6021.3507315429579</v>
      </c>
      <c r="D584" s="28">
        <v>7565.5529489212786</v>
      </c>
    </row>
    <row r="585" spans="1:4" x14ac:dyDescent="0.2">
      <c r="A585">
        <v>548</v>
      </c>
      <c r="B585" s="7">
        <v>0.94654822437515307</v>
      </c>
      <c r="C585" s="28">
        <v>6412.6270597649363</v>
      </c>
      <c r="D585" s="28">
        <v>6774.749447127343</v>
      </c>
    </row>
    <row r="586" spans="1:4" x14ac:dyDescent="0.2">
      <c r="A586">
        <v>549</v>
      </c>
      <c r="B586" s="7">
        <v>0.77464614276791188</v>
      </c>
      <c r="C586" s="28">
        <v>6998.8305476733876</v>
      </c>
      <c r="D586" s="28">
        <v>9034.8743268321869</v>
      </c>
    </row>
    <row r="587" spans="1:4" x14ac:dyDescent="0.2">
      <c r="A587">
        <v>550</v>
      </c>
      <c r="B587" s="7">
        <v>0.78242557446637662</v>
      </c>
      <c r="C587" s="28">
        <v>7333.3544395502304</v>
      </c>
      <c r="D587" s="28">
        <v>9372.5904148157024</v>
      </c>
    </row>
    <row r="588" spans="1:4" x14ac:dyDescent="0.2">
      <c r="A588">
        <v>551</v>
      </c>
      <c r="B588" s="7">
        <v>1.0079789341281158</v>
      </c>
      <c r="C588" s="28">
        <v>7413.0593466953342</v>
      </c>
      <c r="D588" s="28">
        <v>7354.3792391926336</v>
      </c>
    </row>
    <row r="589" spans="1:4" x14ac:dyDescent="0.2">
      <c r="A589">
        <v>552</v>
      </c>
      <c r="B589" s="7">
        <v>0.76515894608226365</v>
      </c>
      <c r="C589" s="28">
        <v>6036.1413737931598</v>
      </c>
      <c r="D589" s="28">
        <v>7888.7418159314093</v>
      </c>
    </row>
    <row r="590" spans="1:4" x14ac:dyDescent="0.2">
      <c r="A590">
        <v>553</v>
      </c>
      <c r="B590" s="7">
        <v>0.71121426725097692</v>
      </c>
      <c r="C590" s="28">
        <v>7359.3612162299851</v>
      </c>
      <c r="D590" s="28">
        <v>10347.600653001209</v>
      </c>
    </row>
    <row r="591" spans="1:4" x14ac:dyDescent="0.2">
      <c r="A591">
        <v>554</v>
      </c>
      <c r="B591" s="7">
        <v>0.84070808096280381</v>
      </c>
      <c r="C591" s="28">
        <v>8646.2509480945246</v>
      </c>
      <c r="D591" s="28">
        <v>10284.486546379549</v>
      </c>
    </row>
    <row r="592" spans="1:4" x14ac:dyDescent="0.2">
      <c r="A592">
        <v>555</v>
      </c>
      <c r="B592" s="7">
        <v>0.701636330457589</v>
      </c>
      <c r="C592" s="28">
        <v>4420.5280453282412</v>
      </c>
      <c r="D592" s="28">
        <v>6300.3123604578568</v>
      </c>
    </row>
    <row r="593" spans="1:4" x14ac:dyDescent="0.2">
      <c r="A593">
        <v>556</v>
      </c>
      <c r="B593" s="7">
        <v>0.94555484840361359</v>
      </c>
      <c r="C593" s="28">
        <v>6678.0910064022573</v>
      </c>
      <c r="D593" s="28">
        <v>7062.6162170041453</v>
      </c>
    </row>
    <row r="594" spans="1:4" x14ac:dyDescent="0.2">
      <c r="A594">
        <v>557</v>
      </c>
      <c r="B594" s="7">
        <v>0.74302611113533246</v>
      </c>
      <c r="C594" s="28">
        <v>8272.2764631109858</v>
      </c>
      <c r="D594" s="28">
        <v>11133.224444119567</v>
      </c>
    </row>
    <row r="595" spans="1:4" x14ac:dyDescent="0.2">
      <c r="A595">
        <v>558</v>
      </c>
      <c r="B595" s="7">
        <v>0.6578975339255706</v>
      </c>
      <c r="C595" s="28">
        <v>6324.1052353160358</v>
      </c>
      <c r="D595" s="28">
        <v>9612.5990890725789</v>
      </c>
    </row>
    <row r="596" spans="1:4" x14ac:dyDescent="0.2">
      <c r="A596">
        <v>559</v>
      </c>
      <c r="B596" s="7">
        <v>0.81521814044595509</v>
      </c>
      <c r="C596" s="28">
        <v>7856.2419785833772</v>
      </c>
      <c r="D596" s="28">
        <v>9636.9813045201827</v>
      </c>
    </row>
    <row r="597" spans="1:4" x14ac:dyDescent="0.2">
      <c r="A597">
        <v>560</v>
      </c>
      <c r="B597" s="7">
        <v>0.9362996816914908</v>
      </c>
      <c r="C597" s="28">
        <v>7558.8544732670416</v>
      </c>
      <c r="D597" s="28">
        <v>8073.1144323486715</v>
      </c>
    </row>
    <row r="598" spans="1:4" x14ac:dyDescent="0.2">
      <c r="A598">
        <v>561</v>
      </c>
      <c r="B598" s="7">
        <v>0.66568295765223784</v>
      </c>
      <c r="C598" s="28">
        <v>6925.4007299036803</v>
      </c>
      <c r="D598" s="28">
        <v>10403.452049198482</v>
      </c>
    </row>
    <row r="599" spans="1:4" x14ac:dyDescent="0.2">
      <c r="A599">
        <v>562</v>
      </c>
      <c r="B599" s="7">
        <v>0.90871420563967753</v>
      </c>
      <c r="C599" s="28">
        <v>7299.9844452029429</v>
      </c>
      <c r="D599" s="28">
        <v>8033.3116835828641</v>
      </c>
    </row>
    <row r="600" spans="1:4" x14ac:dyDescent="0.2">
      <c r="A600">
        <v>563</v>
      </c>
      <c r="B600" s="7">
        <v>0.9873249160566413</v>
      </c>
      <c r="C600" s="28">
        <v>7518.8885553988484</v>
      </c>
      <c r="D600" s="28">
        <v>7615.4145743927538</v>
      </c>
    </row>
    <row r="601" spans="1:4" x14ac:dyDescent="0.2">
      <c r="A601">
        <v>564</v>
      </c>
      <c r="B601" s="7">
        <v>1.0024987511121957</v>
      </c>
      <c r="C601" s="28">
        <v>7370.08122394166</v>
      </c>
      <c r="D601" s="28">
        <v>7351.7111275850657</v>
      </c>
    </row>
    <row r="602" spans="1:4" x14ac:dyDescent="0.2">
      <c r="A602">
        <v>565</v>
      </c>
      <c r="B602" s="7">
        <v>0.98917056774902079</v>
      </c>
      <c r="C602" s="28">
        <v>8105.4039361964333</v>
      </c>
      <c r="D602" s="28">
        <v>8194.1418401088049</v>
      </c>
    </row>
    <row r="603" spans="1:4" x14ac:dyDescent="0.2">
      <c r="A603">
        <v>566</v>
      </c>
      <c r="B603" s="7">
        <v>0.78626156938598424</v>
      </c>
      <c r="C603" s="28">
        <v>6962.2043059371936</v>
      </c>
      <c r="D603" s="28">
        <v>8854.81953718556</v>
      </c>
    </row>
    <row r="604" spans="1:4" x14ac:dyDescent="0.2">
      <c r="A604">
        <v>567</v>
      </c>
      <c r="B604" s="7">
        <v>0.68201195894891598</v>
      </c>
      <c r="C604" s="28">
        <v>7701.6362788758343</v>
      </c>
      <c r="D604" s="28">
        <v>11292.523800821948</v>
      </c>
    </row>
    <row r="605" spans="1:4" x14ac:dyDescent="0.2">
      <c r="A605">
        <v>568</v>
      </c>
      <c r="B605" s="7">
        <v>0.8523210887195507</v>
      </c>
      <c r="C605" s="28">
        <v>5285.0336333514169</v>
      </c>
      <c r="D605" s="28">
        <v>6200.754273593263</v>
      </c>
    </row>
    <row r="606" spans="1:4" x14ac:dyDescent="0.2">
      <c r="A606">
        <v>569</v>
      </c>
      <c r="B606" s="7">
        <v>1.3233105925124606</v>
      </c>
      <c r="C606" s="28">
        <v>6564.7133513844474</v>
      </c>
      <c r="D606" s="28">
        <v>4960.8258171050893</v>
      </c>
    </row>
    <row r="607" spans="1:4" x14ac:dyDescent="0.2">
      <c r="A607">
        <v>570</v>
      </c>
      <c r="B607" s="7">
        <v>0.85466267239004168</v>
      </c>
      <c r="C607" s="28">
        <v>8181.237643536444</v>
      </c>
      <c r="D607" s="28">
        <v>9572.4756770502536</v>
      </c>
    </row>
    <row r="608" spans="1:4" x14ac:dyDescent="0.2">
      <c r="A608">
        <v>571</v>
      </c>
      <c r="B608" s="7">
        <v>0.92255537075473626</v>
      </c>
      <c r="C608" s="28">
        <v>5773.2266389074157</v>
      </c>
      <c r="D608" s="28">
        <v>6257.8646463077639</v>
      </c>
    </row>
    <row r="609" spans="1:4" x14ac:dyDescent="0.2">
      <c r="A609">
        <v>572</v>
      </c>
      <c r="B609" s="7">
        <v>0.92377200486767563</v>
      </c>
      <c r="C609" s="28">
        <v>6799.9577438462238</v>
      </c>
      <c r="D609" s="28">
        <v>7361.0779586465969</v>
      </c>
    </row>
    <row r="610" spans="1:4" x14ac:dyDescent="0.2">
      <c r="A610">
        <v>573</v>
      </c>
      <c r="B610" s="7">
        <v>0.70148966544646996</v>
      </c>
      <c r="C610" s="28">
        <v>6212.2116253378063</v>
      </c>
      <c r="D610" s="28">
        <v>8855.7421888517529</v>
      </c>
    </row>
    <row r="611" spans="1:4" x14ac:dyDescent="0.2">
      <c r="A611">
        <v>574</v>
      </c>
      <c r="B611" s="7">
        <v>0.62261504432205683</v>
      </c>
      <c r="C611" s="28">
        <v>6381.9579715618574</v>
      </c>
      <c r="D611" s="28">
        <v>10250.246970037389</v>
      </c>
    </row>
    <row r="612" spans="1:4" x14ac:dyDescent="0.2">
      <c r="A612">
        <v>575</v>
      </c>
      <c r="B612" s="7">
        <v>0.88564147579142727</v>
      </c>
      <c r="C612" s="28">
        <v>7001.9962167703616</v>
      </c>
      <c r="D612" s="28">
        <v>7906.1295209929449</v>
      </c>
    </row>
    <row r="613" spans="1:4" x14ac:dyDescent="0.2">
      <c r="A613">
        <v>576</v>
      </c>
      <c r="B613" s="7">
        <v>0.74280004012476653</v>
      </c>
      <c r="C613" s="28">
        <v>6997.3675346726195</v>
      </c>
      <c r="D613" s="28">
        <v>9420.2573461052671</v>
      </c>
    </row>
    <row r="614" spans="1:4" x14ac:dyDescent="0.2">
      <c r="A614">
        <v>577</v>
      </c>
      <c r="B614" s="7">
        <v>1.1716660766698519</v>
      </c>
      <c r="C614" s="28">
        <v>6224.5509836862948</v>
      </c>
      <c r="D614" s="28">
        <v>5312.5639699136118</v>
      </c>
    </row>
    <row r="615" spans="1:4" x14ac:dyDescent="0.2">
      <c r="A615">
        <v>578</v>
      </c>
      <c r="B615" s="7">
        <v>0.88089875799351347</v>
      </c>
      <c r="C615" s="28">
        <v>5326.2133386937694</v>
      </c>
      <c r="D615" s="28">
        <v>6046.3399344842637</v>
      </c>
    </row>
    <row r="616" spans="1:4" x14ac:dyDescent="0.2">
      <c r="A616">
        <v>579</v>
      </c>
      <c r="B616" s="35">
        <v>0.72609054197602241</v>
      </c>
      <c r="C616" s="36">
        <v>4248.6134578304263</v>
      </c>
      <c r="D616" s="36">
        <v>5851.3549099097445</v>
      </c>
    </row>
    <row r="617" spans="1:4" x14ac:dyDescent="0.2">
      <c r="A617">
        <v>580</v>
      </c>
      <c r="B617" s="7">
        <v>0.73597605547043532</v>
      </c>
      <c r="C617" s="28">
        <v>6797.4351767856479</v>
      </c>
      <c r="D617" s="28">
        <v>9235.9460966983934</v>
      </c>
    </row>
    <row r="618" spans="1:4" x14ac:dyDescent="0.2">
      <c r="A618">
        <v>581</v>
      </c>
      <c r="B618" s="7">
        <v>0.72888002816161901</v>
      </c>
      <c r="C618" s="28">
        <v>9093.8113877883534</v>
      </c>
      <c r="D618" s="28">
        <v>12476.417292877075</v>
      </c>
    </row>
    <row r="619" spans="1:4" x14ac:dyDescent="0.2">
      <c r="A619">
        <v>582</v>
      </c>
      <c r="B619" s="7">
        <v>0.86973045722536213</v>
      </c>
      <c r="C619" s="28">
        <v>8183.9537431464887</v>
      </c>
      <c r="D619" s="28">
        <v>9409.7587076059881</v>
      </c>
    </row>
    <row r="620" spans="1:4" x14ac:dyDescent="0.2">
      <c r="A620">
        <v>583</v>
      </c>
      <c r="B620" s="7">
        <v>1.0599839569954304</v>
      </c>
      <c r="C620" s="28">
        <v>6063.5296418645885</v>
      </c>
      <c r="D620" s="28">
        <v>5720.397560593201</v>
      </c>
    </row>
    <row r="621" spans="1:4" x14ac:dyDescent="0.2">
      <c r="A621">
        <v>584</v>
      </c>
      <c r="B621" s="7">
        <v>0.79539270093933379</v>
      </c>
      <c r="C621" s="28">
        <v>9816.1972829930091</v>
      </c>
      <c r="D621" s="28">
        <v>12341.321804186018</v>
      </c>
    </row>
    <row r="622" spans="1:4" x14ac:dyDescent="0.2">
      <c r="A622">
        <v>585</v>
      </c>
      <c r="B622" s="7">
        <v>0.92222485861523573</v>
      </c>
      <c r="C622" s="28">
        <v>6026.4259162000762</v>
      </c>
      <c r="D622" s="28">
        <v>6534.660023423181</v>
      </c>
    </row>
    <row r="623" spans="1:4" x14ac:dyDescent="0.2">
      <c r="A623">
        <v>586</v>
      </c>
      <c r="B623" s="7">
        <v>1.1251841252432779</v>
      </c>
      <c r="C623" s="28">
        <v>6359.6300706195843</v>
      </c>
      <c r="D623" s="28">
        <v>5652.0794489920108</v>
      </c>
    </row>
    <row r="624" spans="1:4" x14ac:dyDescent="0.2">
      <c r="A624">
        <v>587</v>
      </c>
      <c r="B624" s="7">
        <v>0.73429053664874999</v>
      </c>
      <c r="C624" s="28">
        <v>7345.1078582280534</v>
      </c>
      <c r="D624" s="28">
        <v>10002.999482671539</v>
      </c>
    </row>
    <row r="625" spans="1:4" x14ac:dyDescent="0.2">
      <c r="A625">
        <v>588</v>
      </c>
      <c r="B625" s="7">
        <v>1.0632886078288974</v>
      </c>
      <c r="C625" s="28">
        <v>7692.2624658320819</v>
      </c>
      <c r="D625" s="28">
        <v>7234.4069231953135</v>
      </c>
    </row>
    <row r="626" spans="1:4" x14ac:dyDescent="0.2">
      <c r="A626">
        <v>589</v>
      </c>
      <c r="B626" s="7">
        <v>0.96934038226900299</v>
      </c>
      <c r="C626" s="28">
        <v>8720.4159872790606</v>
      </c>
      <c r="D626" s="28">
        <v>8996.2371802426842</v>
      </c>
    </row>
    <row r="627" spans="1:4" x14ac:dyDescent="0.2">
      <c r="A627">
        <v>590</v>
      </c>
      <c r="B627" s="7">
        <v>0.72696876663521337</v>
      </c>
      <c r="C627" s="28">
        <v>7517.9538559727735</v>
      </c>
      <c r="D627" s="28">
        <v>10341.50874289929</v>
      </c>
    </row>
    <row r="628" spans="1:4" x14ac:dyDescent="0.2">
      <c r="A628">
        <v>591</v>
      </c>
      <c r="B628" s="7">
        <v>1.1818768359816163</v>
      </c>
      <c r="C628" s="28">
        <v>7067.4252335447145</v>
      </c>
      <c r="D628" s="28">
        <v>5979.8322620265362</v>
      </c>
    </row>
    <row r="629" spans="1:4" x14ac:dyDescent="0.2">
      <c r="A629">
        <v>592</v>
      </c>
      <c r="B629" s="7">
        <v>0.83892416874359732</v>
      </c>
      <c r="C629" s="28">
        <v>7070.9823407929816</v>
      </c>
      <c r="D629" s="28">
        <v>8428.6311018822307</v>
      </c>
    </row>
    <row r="630" spans="1:4" x14ac:dyDescent="0.2">
      <c r="A630">
        <v>593</v>
      </c>
      <c r="B630" s="7">
        <v>0.66922425333517843</v>
      </c>
      <c r="C630" s="28">
        <v>7304.9829760356879</v>
      </c>
      <c r="D630" s="28">
        <v>10915.598081854057</v>
      </c>
    </row>
    <row r="631" spans="1:4" x14ac:dyDescent="0.2">
      <c r="A631">
        <v>594</v>
      </c>
      <c r="B631" s="7">
        <v>0.91609855856280831</v>
      </c>
      <c r="C631" s="28">
        <v>7096.0010195051345</v>
      </c>
      <c r="D631" s="28">
        <v>7745.8925714690204</v>
      </c>
    </row>
    <row r="632" spans="1:4" x14ac:dyDescent="0.2">
      <c r="A632">
        <v>595</v>
      </c>
      <c r="B632" s="7">
        <v>0.82070455627408556</v>
      </c>
      <c r="C632" s="28">
        <v>6768.280779245435</v>
      </c>
      <c r="D632" s="28">
        <v>8246.9150774216905</v>
      </c>
    </row>
    <row r="633" spans="1:4" x14ac:dyDescent="0.2">
      <c r="A633">
        <v>596</v>
      </c>
      <c r="B633" s="7">
        <v>0.89015645782919073</v>
      </c>
      <c r="C633" s="28">
        <v>8883.352872093632</v>
      </c>
      <c r="D633" s="28">
        <v>9979.5410053613632</v>
      </c>
    </row>
    <row r="634" spans="1:4" x14ac:dyDescent="0.2">
      <c r="A634">
        <v>597</v>
      </c>
      <c r="B634" s="7">
        <v>0.97077449837755303</v>
      </c>
      <c r="C634" s="28">
        <v>7529.0602600901566</v>
      </c>
      <c r="D634" s="28">
        <v>7755.7252200932444</v>
      </c>
    </row>
    <row r="635" spans="1:4" x14ac:dyDescent="0.2">
      <c r="A635">
        <v>598</v>
      </c>
      <c r="B635" s="7">
        <v>0.77544091481027966</v>
      </c>
      <c r="C635" s="28">
        <v>6089.8742194523002</v>
      </c>
      <c r="D635" s="28">
        <v>7853.434224504721</v>
      </c>
    </row>
    <row r="636" spans="1:4" x14ac:dyDescent="0.2">
      <c r="A636">
        <v>599</v>
      </c>
      <c r="B636" s="7">
        <v>0.864849301497018</v>
      </c>
      <c r="C636" s="28">
        <v>8414.1198919991257</v>
      </c>
      <c r="D636" s="28">
        <v>9729.0011999022663</v>
      </c>
    </row>
    <row r="637" spans="1:4" x14ac:dyDescent="0.2">
      <c r="A637">
        <v>600</v>
      </c>
      <c r="B637" s="7">
        <v>1.0830237499930773</v>
      </c>
      <c r="C637" s="28">
        <v>7570.3194277777529</v>
      </c>
      <c r="D637" s="28">
        <v>6989.9846866942144</v>
      </c>
    </row>
    <row r="638" spans="1:4" x14ac:dyDescent="0.2">
      <c r="A638">
        <v>601</v>
      </c>
      <c r="B638" s="7">
        <v>0.47319664290822949</v>
      </c>
      <c r="C638" s="28">
        <v>8687.8597898944136</v>
      </c>
      <c r="D638" s="28">
        <v>18359.935388593436</v>
      </c>
    </row>
    <row r="639" spans="1:4" x14ac:dyDescent="0.2">
      <c r="A639">
        <v>602</v>
      </c>
      <c r="B639" s="7">
        <v>0.89161178049778567</v>
      </c>
      <c r="C639" s="28">
        <v>7172.9463833330574</v>
      </c>
      <c r="D639" s="28">
        <v>8044.9210522189496</v>
      </c>
    </row>
    <row r="640" spans="1:4" x14ac:dyDescent="0.2">
      <c r="A640">
        <v>603</v>
      </c>
      <c r="B640" s="7">
        <v>1.0210384718249008</v>
      </c>
      <c r="C640" s="28">
        <v>6014.9994475022795</v>
      </c>
      <c r="D640" s="28">
        <v>5891.0605363886807</v>
      </c>
    </row>
    <row r="641" spans="1:4" x14ac:dyDescent="0.2">
      <c r="A641">
        <v>604</v>
      </c>
      <c r="B641" s="7">
        <v>0.81802409698140455</v>
      </c>
      <c r="C641" s="28">
        <v>5412.6005382313979</v>
      </c>
      <c r="D641" s="28">
        <v>6616.6761568570737</v>
      </c>
    </row>
    <row r="642" spans="1:4" x14ac:dyDescent="0.2">
      <c r="A642">
        <v>605</v>
      </c>
      <c r="B642" s="7">
        <v>0.76677692034641609</v>
      </c>
      <c r="C642" s="28">
        <v>6885.6162928425456</v>
      </c>
      <c r="D642" s="28">
        <v>8979.9472442803144</v>
      </c>
    </row>
    <row r="643" spans="1:4" x14ac:dyDescent="0.2">
      <c r="A643">
        <v>606</v>
      </c>
      <c r="B643" s="7">
        <v>0.89690970551353644</v>
      </c>
      <c r="C643" s="28">
        <v>7449.4916737481726</v>
      </c>
      <c r="D643" s="28">
        <v>8305.7320351805938</v>
      </c>
    </row>
    <row r="644" spans="1:4" x14ac:dyDescent="0.2">
      <c r="A644">
        <v>607</v>
      </c>
      <c r="B644" s="7">
        <v>0.88538141530061587</v>
      </c>
      <c r="C644" s="28">
        <v>6395.8685471211174</v>
      </c>
      <c r="D644" s="28">
        <v>7223.8567882628431</v>
      </c>
    </row>
    <row r="645" spans="1:4" x14ac:dyDescent="0.2">
      <c r="A645">
        <v>608</v>
      </c>
      <c r="B645" s="7">
        <v>0.73952454055905292</v>
      </c>
      <c r="C645" s="28">
        <v>5941.8631439666879</v>
      </c>
      <c r="D645" s="28">
        <v>8034.7071910214927</v>
      </c>
    </row>
    <row r="646" spans="1:4" x14ac:dyDescent="0.2">
      <c r="A646">
        <v>609</v>
      </c>
      <c r="B646" s="7">
        <v>0.73048987405365651</v>
      </c>
      <c r="C646" s="28">
        <v>6515.321716381286</v>
      </c>
      <c r="D646" s="28">
        <v>8919.1129785636385</v>
      </c>
    </row>
    <row r="647" spans="1:4" x14ac:dyDescent="0.2">
      <c r="A647">
        <v>610</v>
      </c>
      <c r="B647" s="7">
        <v>0.80765271666304805</v>
      </c>
      <c r="C647" s="28">
        <v>6107.4384719015216</v>
      </c>
      <c r="D647" s="28">
        <v>7561.9611571857549</v>
      </c>
    </row>
    <row r="648" spans="1:4" x14ac:dyDescent="0.2">
      <c r="A648">
        <v>611</v>
      </c>
      <c r="B648" s="7">
        <v>0.74495796788963986</v>
      </c>
      <c r="C648" s="28">
        <v>6658.209308881419</v>
      </c>
      <c r="D648" s="28">
        <v>8937.6979586421239</v>
      </c>
    </row>
    <row r="649" spans="1:4" x14ac:dyDescent="0.2">
      <c r="A649">
        <v>612</v>
      </c>
      <c r="B649" s="35">
        <v>0.92389443499913693</v>
      </c>
      <c r="C649" s="36">
        <v>6861.7655291136107</v>
      </c>
      <c r="D649" s="36">
        <v>7427.0016889105091</v>
      </c>
    </row>
    <row r="650" spans="1:4" x14ac:dyDescent="0.2">
      <c r="A650">
        <v>613</v>
      </c>
      <c r="B650" s="7">
        <v>0.86737832365948275</v>
      </c>
      <c r="C650" s="28">
        <v>7271.5469929047013</v>
      </c>
      <c r="D650" s="28">
        <v>8383.362593413598</v>
      </c>
    </row>
    <row r="651" spans="1:4" x14ac:dyDescent="0.2">
      <c r="A651">
        <v>614</v>
      </c>
      <c r="B651" s="7">
        <v>0.7905733795752603</v>
      </c>
      <c r="C651" s="28">
        <v>6096.9928439881132</v>
      </c>
      <c r="D651" s="28">
        <v>7712.1150313254348</v>
      </c>
    </row>
    <row r="652" spans="1:4" x14ac:dyDescent="0.2">
      <c r="A652">
        <v>615</v>
      </c>
      <c r="B652" s="7">
        <v>0.89988886441994964</v>
      </c>
      <c r="C652" s="28">
        <v>6336.8171446087381</v>
      </c>
      <c r="D652" s="28">
        <v>7041.7774851490394</v>
      </c>
    </row>
    <row r="653" spans="1:4" x14ac:dyDescent="0.2">
      <c r="A653">
        <v>616</v>
      </c>
      <c r="B653" s="7">
        <v>0.85883518559472449</v>
      </c>
      <c r="C653" s="28">
        <v>6817.824230318256</v>
      </c>
      <c r="D653" s="28">
        <v>7938.4547171260365</v>
      </c>
    </row>
    <row r="654" spans="1:4" x14ac:dyDescent="0.2">
      <c r="A654">
        <v>617</v>
      </c>
      <c r="B654" s="7">
        <v>0.84022026044766918</v>
      </c>
      <c r="C654" s="28">
        <v>6433.3231276793049</v>
      </c>
      <c r="D654" s="28">
        <v>7656.7103062375954</v>
      </c>
    </row>
    <row r="655" spans="1:4" x14ac:dyDescent="0.2">
      <c r="A655">
        <v>618</v>
      </c>
      <c r="B655" s="7">
        <v>0.69881270669741546</v>
      </c>
      <c r="C655" s="28">
        <v>7979.6620251780696</v>
      </c>
      <c r="D655" s="28">
        <v>11418.885130022754</v>
      </c>
    </row>
    <row r="656" spans="1:4" x14ac:dyDescent="0.2">
      <c r="A656">
        <v>619</v>
      </c>
      <c r="B656" s="7">
        <v>1.0647265957053245</v>
      </c>
      <c r="C656" s="28">
        <v>4786.9704528775219</v>
      </c>
      <c r="D656" s="28">
        <v>4495.962129795781</v>
      </c>
    </row>
    <row r="657" spans="1:4" x14ac:dyDescent="0.2">
      <c r="A657">
        <v>620</v>
      </c>
      <c r="B657" s="7">
        <v>0.78600642634108198</v>
      </c>
      <c r="C657" s="28">
        <v>6604.385693946806</v>
      </c>
      <c r="D657" s="28">
        <v>8402.4576296286905</v>
      </c>
    </row>
    <row r="658" spans="1:4" x14ac:dyDescent="0.2">
      <c r="A658">
        <v>621</v>
      </c>
      <c r="B658" s="7">
        <v>1.0323451135219228</v>
      </c>
      <c r="C658" s="28">
        <v>7584.5367115430972</v>
      </c>
      <c r="D658" s="28">
        <v>7346.9003845699244</v>
      </c>
    </row>
    <row r="659" spans="1:4" x14ac:dyDescent="0.2">
      <c r="A659">
        <v>622</v>
      </c>
      <c r="B659" s="7">
        <v>0.6589381691102707</v>
      </c>
      <c r="C659" s="28">
        <v>7544.5315747765653</v>
      </c>
      <c r="D659" s="28">
        <v>11449.528845723942</v>
      </c>
    </row>
    <row r="660" spans="1:4" x14ac:dyDescent="0.2">
      <c r="A660">
        <v>623</v>
      </c>
      <c r="B660" s="7">
        <v>1.1281427967216828</v>
      </c>
      <c r="C660" s="28">
        <v>5755.7976421392468</v>
      </c>
      <c r="D660" s="28">
        <v>5102.0116060353876</v>
      </c>
    </row>
    <row r="661" spans="1:4" x14ac:dyDescent="0.2">
      <c r="A661">
        <v>624</v>
      </c>
      <c r="B661" s="7">
        <v>0.67162541297596068</v>
      </c>
      <c r="C661" s="28">
        <v>7741.8909146456044</v>
      </c>
      <c r="D661" s="28">
        <v>11527.096451489855</v>
      </c>
    </row>
    <row r="662" spans="1:4" x14ac:dyDescent="0.2">
      <c r="A662">
        <v>625</v>
      </c>
      <c r="B662" s="7">
        <v>0.65226017631189581</v>
      </c>
      <c r="C662" s="28">
        <v>6102.223448903489</v>
      </c>
      <c r="D662" s="28">
        <v>9355.5051657569638</v>
      </c>
    </row>
    <row r="663" spans="1:4" x14ac:dyDescent="0.2">
      <c r="A663">
        <v>626</v>
      </c>
      <c r="B663" s="7">
        <v>1.2720567450669842</v>
      </c>
      <c r="C663" s="28">
        <v>6613.4334958832587</v>
      </c>
      <c r="D663" s="28">
        <v>5199.0082372740435</v>
      </c>
    </row>
    <row r="664" spans="1:4" x14ac:dyDescent="0.2">
      <c r="A664">
        <v>627</v>
      </c>
      <c r="B664" s="7">
        <v>1.0152310953990984</v>
      </c>
      <c r="C664" s="28">
        <v>6859.2619704726421</v>
      </c>
      <c r="D664" s="28">
        <v>6756.3552786729724</v>
      </c>
    </row>
    <row r="665" spans="1:4" x14ac:dyDescent="0.2">
      <c r="A665">
        <v>628</v>
      </c>
      <c r="B665" s="7">
        <v>0.71041335553763396</v>
      </c>
      <c r="C665" s="28">
        <v>8487.793397010455</v>
      </c>
      <c r="D665" s="28">
        <v>11947.6827551855</v>
      </c>
    </row>
    <row r="666" spans="1:4" x14ac:dyDescent="0.2">
      <c r="A666">
        <v>629</v>
      </c>
      <c r="B666" s="7">
        <v>0.74472885612602724</v>
      </c>
      <c r="C666" s="28">
        <v>9407.2718044347002</v>
      </c>
      <c r="D666" s="28">
        <v>12631.807841272566</v>
      </c>
    </row>
    <row r="667" spans="1:4" x14ac:dyDescent="0.2">
      <c r="A667">
        <v>630</v>
      </c>
      <c r="B667" s="7">
        <v>0.78607903575348637</v>
      </c>
      <c r="C667" s="28">
        <v>7403.4007820030929</v>
      </c>
      <c r="D667" s="28">
        <v>9418.137929230812</v>
      </c>
    </row>
    <row r="668" spans="1:4" x14ac:dyDescent="0.2">
      <c r="A668">
        <v>631</v>
      </c>
      <c r="B668" s="7">
        <v>0.93458453837479816</v>
      </c>
      <c r="C668" s="28">
        <v>6479.0439911698377</v>
      </c>
      <c r="D668" s="28">
        <v>6932.5392461944784</v>
      </c>
    </row>
    <row r="669" spans="1:4" x14ac:dyDescent="0.2">
      <c r="A669">
        <v>632</v>
      </c>
      <c r="B669" s="7">
        <v>0.88533118432064128</v>
      </c>
      <c r="C669" s="28">
        <v>6743.8782331449238</v>
      </c>
      <c r="D669" s="28">
        <v>7617.3508316210928</v>
      </c>
    </row>
    <row r="670" spans="1:4" x14ac:dyDescent="0.2">
      <c r="A670">
        <v>633</v>
      </c>
      <c r="B670" s="7">
        <v>0.87100738003950084</v>
      </c>
      <c r="C670" s="28">
        <v>6436.206103778477</v>
      </c>
      <c r="D670" s="28">
        <v>7389.381825314259</v>
      </c>
    </row>
    <row r="671" spans="1:4" x14ac:dyDescent="0.2">
      <c r="A671">
        <v>634</v>
      </c>
      <c r="B671" s="7">
        <v>0.84225900273358434</v>
      </c>
      <c r="C671" s="28">
        <v>5338.1857554540493</v>
      </c>
      <c r="D671" s="28">
        <v>6337.9384941315675</v>
      </c>
    </row>
    <row r="672" spans="1:4" x14ac:dyDescent="0.2">
      <c r="A672">
        <v>635</v>
      </c>
      <c r="B672" s="7">
        <v>0.82105558435765325</v>
      </c>
      <c r="C672" s="28">
        <v>8530.1904977269987</v>
      </c>
      <c r="D672" s="28">
        <v>10389.297217192097</v>
      </c>
    </row>
    <row r="673" spans="1:4" x14ac:dyDescent="0.2">
      <c r="A673">
        <v>636</v>
      </c>
      <c r="B673" s="7">
        <v>0.84831171946340511</v>
      </c>
      <c r="C673" s="28">
        <v>8705.1493001522867</v>
      </c>
      <c r="D673" s="28">
        <v>10261.734101302622</v>
      </c>
    </row>
    <row r="674" spans="1:4" x14ac:dyDescent="0.2">
      <c r="A674">
        <v>637</v>
      </c>
      <c r="B674" s="7">
        <v>0.48968604879950206</v>
      </c>
      <c r="C674" s="28">
        <v>7488.1336571497504</v>
      </c>
      <c r="D674" s="28">
        <v>15291.703072830865</v>
      </c>
    </row>
    <row r="675" spans="1:4" x14ac:dyDescent="0.2">
      <c r="A675">
        <v>638</v>
      </c>
      <c r="B675" s="7">
        <v>0.75365707411602045</v>
      </c>
      <c r="C675" s="28">
        <v>7369.1841099731628</v>
      </c>
      <c r="D675" s="28">
        <v>9777.9008027180353</v>
      </c>
    </row>
    <row r="676" spans="1:4" x14ac:dyDescent="0.2">
      <c r="A676">
        <v>639</v>
      </c>
      <c r="B676" s="7">
        <v>0.66679317004651129</v>
      </c>
      <c r="C676" s="28">
        <v>7222.470821722407</v>
      </c>
      <c r="D676" s="28">
        <v>10831.65087191672</v>
      </c>
    </row>
    <row r="677" spans="1:4" x14ac:dyDescent="0.2">
      <c r="A677">
        <v>640</v>
      </c>
      <c r="B677" s="7">
        <v>0.65915427078781974</v>
      </c>
      <c r="C677" s="28">
        <v>6873.0268541309524</v>
      </c>
      <c r="D677" s="28">
        <v>10427.03834098856</v>
      </c>
    </row>
    <row r="678" spans="1:4" x14ac:dyDescent="0.2">
      <c r="A678">
        <v>641</v>
      </c>
      <c r="B678" s="7">
        <v>0.77918823047161645</v>
      </c>
      <c r="C678" s="28">
        <v>7627.3121423365847</v>
      </c>
      <c r="D678" s="28">
        <v>9788.7928026325917</v>
      </c>
    </row>
    <row r="679" spans="1:4" x14ac:dyDescent="0.2">
      <c r="A679">
        <v>642</v>
      </c>
      <c r="B679" s="7">
        <v>0.66722623185543029</v>
      </c>
      <c r="C679" s="28">
        <v>7587.3717376259337</v>
      </c>
      <c r="D679" s="28">
        <v>11371.512952251418</v>
      </c>
    </row>
    <row r="680" spans="1:4" x14ac:dyDescent="0.2">
      <c r="A680">
        <v>643</v>
      </c>
      <c r="B680" s="7">
        <v>0.73647616603064314</v>
      </c>
      <c r="C680" s="28">
        <v>6562.485647455971</v>
      </c>
      <c r="D680" s="28">
        <v>8910.6558367333782</v>
      </c>
    </row>
    <row r="681" spans="1:4" x14ac:dyDescent="0.2">
      <c r="A681">
        <v>644</v>
      </c>
      <c r="B681" s="7">
        <v>0.90736557266206397</v>
      </c>
      <c r="C681" s="28">
        <v>7643.3057965859734</v>
      </c>
      <c r="D681" s="28">
        <v>8423.6233188369151</v>
      </c>
    </row>
    <row r="682" spans="1:4" x14ac:dyDescent="0.2">
      <c r="A682">
        <v>645</v>
      </c>
      <c r="B682" s="7">
        <v>1.1529053469777049</v>
      </c>
      <c r="C682" s="28">
        <v>7912.9636876942941</v>
      </c>
      <c r="D682" s="28">
        <v>6863.4981253559199</v>
      </c>
    </row>
    <row r="683" spans="1:4" x14ac:dyDescent="0.2">
      <c r="A683">
        <v>646</v>
      </c>
      <c r="B683" s="7">
        <v>0.97477026467434591</v>
      </c>
      <c r="C683" s="28">
        <v>5338.0802985222545</v>
      </c>
      <c r="D683" s="28">
        <v>5476.2444977798086</v>
      </c>
    </row>
    <row r="684" spans="1:4" x14ac:dyDescent="0.2">
      <c r="A684">
        <v>647</v>
      </c>
      <c r="B684" s="7">
        <v>0.68804249671374418</v>
      </c>
      <c r="C684" s="28">
        <v>6274.8695464588618</v>
      </c>
      <c r="D684" s="28">
        <v>9119.8866006520566</v>
      </c>
    </row>
    <row r="685" spans="1:4" x14ac:dyDescent="0.2">
      <c r="A685">
        <v>648</v>
      </c>
      <c r="B685" s="7">
        <v>0.80979823284485164</v>
      </c>
      <c r="C685" s="28">
        <v>7587.1609685900603</v>
      </c>
      <c r="D685" s="28">
        <v>9369.1992163727973</v>
      </c>
    </row>
    <row r="686" spans="1:4" x14ac:dyDescent="0.2">
      <c r="A686">
        <v>649</v>
      </c>
      <c r="B686" s="7">
        <v>0.73988610906603203</v>
      </c>
      <c r="C686" s="28">
        <v>6281.542250637478</v>
      </c>
      <c r="D686" s="28">
        <v>8489.8772576859847</v>
      </c>
    </row>
    <row r="687" spans="1:4" x14ac:dyDescent="0.2">
      <c r="A687">
        <v>650</v>
      </c>
      <c r="B687" s="7">
        <v>0.83072222282350872</v>
      </c>
      <c r="C687" s="28">
        <v>8895.2994154700173</v>
      </c>
      <c r="D687" s="28">
        <v>10707.910744503906</v>
      </c>
    </row>
    <row r="688" spans="1:4" x14ac:dyDescent="0.2">
      <c r="A688">
        <v>651</v>
      </c>
      <c r="B688" s="7">
        <v>0.67598247287031121</v>
      </c>
      <c r="C688" s="28">
        <v>7620.4552818147822</v>
      </c>
      <c r="D688" s="28">
        <v>11273.155129980396</v>
      </c>
    </row>
    <row r="689" spans="1:4" x14ac:dyDescent="0.2">
      <c r="A689">
        <v>652</v>
      </c>
      <c r="B689" s="7">
        <v>1.0652577991278864</v>
      </c>
      <c r="C689" s="28">
        <v>7139.8994639308203</v>
      </c>
      <c r="D689" s="28">
        <v>6702.5085099364387</v>
      </c>
    </row>
    <row r="690" spans="1:4" x14ac:dyDescent="0.2">
      <c r="A690">
        <v>653</v>
      </c>
      <c r="B690" s="7">
        <v>0.9769762887813167</v>
      </c>
      <c r="C690" s="28">
        <v>6251.7671708262242</v>
      </c>
      <c r="D690" s="28">
        <v>6399.0981588966688</v>
      </c>
    </row>
    <row r="691" spans="1:4" x14ac:dyDescent="0.2">
      <c r="A691">
        <v>654</v>
      </c>
      <c r="B691" s="7">
        <v>0.8483501791950836</v>
      </c>
      <c r="C691" s="28">
        <v>7809.2122604469914</v>
      </c>
      <c r="D691" s="28">
        <v>9205.1754711201793</v>
      </c>
    </row>
    <row r="692" spans="1:4" x14ac:dyDescent="0.2">
      <c r="A692">
        <v>655</v>
      </c>
      <c r="B692" s="7">
        <v>0.82819367519009113</v>
      </c>
      <c r="C692" s="29">
        <v>5830.8250246775569</v>
      </c>
      <c r="D692" s="28">
        <v>7040.4124051529816</v>
      </c>
    </row>
    <row r="693" spans="1:4" x14ac:dyDescent="0.2">
      <c r="A693">
        <v>656</v>
      </c>
      <c r="B693" s="7">
        <v>0.99007598700773514</v>
      </c>
      <c r="C693" s="28">
        <v>6504.2929783019408</v>
      </c>
      <c r="D693" s="28">
        <v>6569.4886692076952</v>
      </c>
    </row>
    <row r="694" spans="1:4" x14ac:dyDescent="0.2">
      <c r="A694">
        <v>657</v>
      </c>
      <c r="B694" s="7">
        <v>0.90082366156589622</v>
      </c>
      <c r="C694" s="29">
        <v>6999.6122863329547</v>
      </c>
      <c r="D694" s="28">
        <v>7770.2358241407337</v>
      </c>
    </row>
    <row r="695" spans="1:4" x14ac:dyDescent="0.2">
      <c r="A695">
        <v>658</v>
      </c>
      <c r="B695" s="7">
        <v>0.80705030415892587</v>
      </c>
      <c r="C695" s="28">
        <v>6330.1381517510763</v>
      </c>
      <c r="D695" s="28">
        <v>7843.548436981363</v>
      </c>
    </row>
    <row r="696" spans="1:4" x14ac:dyDescent="0.2">
      <c r="A696">
        <v>659</v>
      </c>
      <c r="B696" s="7">
        <v>0.73538717905876361</v>
      </c>
      <c r="C696" s="28">
        <v>8336.1406116119724</v>
      </c>
      <c r="D696" s="28">
        <v>11335.716543605726</v>
      </c>
    </row>
    <row r="697" spans="1:4" x14ac:dyDescent="0.2">
      <c r="A697">
        <v>660</v>
      </c>
      <c r="B697" s="7">
        <v>0.87983566476651198</v>
      </c>
      <c r="C697" s="28">
        <v>7883.0442591022875</v>
      </c>
      <c r="D697" s="28">
        <v>8959.6780112275446</v>
      </c>
    </row>
    <row r="698" spans="1:4" x14ac:dyDescent="0.2">
      <c r="A698">
        <v>661</v>
      </c>
      <c r="B698" s="7">
        <v>0.7028805424897504</v>
      </c>
      <c r="C698" s="28">
        <v>6945.3453389817805</v>
      </c>
      <c r="D698" s="28">
        <v>9881.2599284366443</v>
      </c>
    </row>
    <row r="699" spans="1:4" x14ac:dyDescent="0.2">
      <c r="A699">
        <v>662</v>
      </c>
      <c r="B699" s="7">
        <v>0.80764657465321932</v>
      </c>
      <c r="C699" s="28">
        <v>6401.7108860210938</v>
      </c>
      <c r="D699" s="28">
        <v>7926.3765698131119</v>
      </c>
    </row>
    <row r="700" spans="1:4" x14ac:dyDescent="0.2">
      <c r="A700">
        <v>663</v>
      </c>
      <c r="B700" s="7">
        <v>0.74519863671065512</v>
      </c>
      <c r="C700" s="28">
        <v>7535.3949492134561</v>
      </c>
      <c r="D700" s="28">
        <v>10111.92798536921</v>
      </c>
    </row>
    <row r="701" spans="1:4" x14ac:dyDescent="0.2">
      <c r="A701">
        <v>664</v>
      </c>
      <c r="B701" s="7">
        <v>0.87935050030939177</v>
      </c>
      <c r="C701" s="28">
        <v>6959.8424358189986</v>
      </c>
      <c r="D701" s="28">
        <v>7914.7534838158836</v>
      </c>
    </row>
    <row r="702" spans="1:4" x14ac:dyDescent="0.2">
      <c r="A702">
        <v>665</v>
      </c>
      <c r="B702" s="7">
        <v>0.83253293797188554</v>
      </c>
      <c r="C702" s="28">
        <v>5399.1971844246582</v>
      </c>
      <c r="D702" s="28">
        <v>6485.26555306931</v>
      </c>
    </row>
    <row r="703" spans="1:4" x14ac:dyDescent="0.2">
      <c r="A703">
        <v>666</v>
      </c>
      <c r="B703" s="7">
        <v>0.9380821289820096</v>
      </c>
      <c r="C703" s="28">
        <v>6838.9818496466596</v>
      </c>
      <c r="D703" s="28">
        <v>7290.3870976288654</v>
      </c>
    </row>
    <row r="704" spans="1:4" x14ac:dyDescent="0.2">
      <c r="A704">
        <v>667</v>
      </c>
      <c r="B704" s="7">
        <v>0.9124797239233553</v>
      </c>
      <c r="C704" s="28">
        <v>6878.994745673017</v>
      </c>
      <c r="D704" s="28">
        <v>7538.7918934742547</v>
      </c>
    </row>
    <row r="705" spans="1:4" x14ac:dyDescent="0.2">
      <c r="A705">
        <v>668</v>
      </c>
      <c r="B705" s="7">
        <v>0.83391596320555728</v>
      </c>
      <c r="C705" s="28">
        <v>5291.9121560688618</v>
      </c>
      <c r="D705" s="28">
        <v>6345.8578436691041</v>
      </c>
    </row>
    <row r="706" spans="1:4" x14ac:dyDescent="0.2">
      <c r="A706">
        <v>669</v>
      </c>
      <c r="B706" s="7">
        <v>0.78050818590450532</v>
      </c>
      <c r="C706" s="28">
        <v>7653.4835034212319</v>
      </c>
      <c r="D706" s="28">
        <v>9805.7696788302874</v>
      </c>
    </row>
    <row r="707" spans="1:4" x14ac:dyDescent="0.2">
      <c r="A707">
        <v>670</v>
      </c>
      <c r="B707" s="7">
        <v>0.77946421113522568</v>
      </c>
      <c r="C707" s="28">
        <v>5539.3648428028355</v>
      </c>
      <c r="D707" s="28">
        <v>7106.6314061234507</v>
      </c>
    </row>
    <row r="708" spans="1:4" x14ac:dyDescent="0.2">
      <c r="A708">
        <v>671</v>
      </c>
      <c r="B708" s="7">
        <v>0.76712393941581958</v>
      </c>
      <c r="C708" s="28">
        <v>7863.6697739019201</v>
      </c>
      <c r="D708" s="28">
        <v>10250.846531904954</v>
      </c>
    </row>
    <row r="709" spans="1:4" x14ac:dyDescent="0.2">
      <c r="A709">
        <v>672</v>
      </c>
      <c r="B709" s="7">
        <v>0.83287558009175466</v>
      </c>
      <c r="C709" s="28">
        <v>6815.7966804043353</v>
      </c>
      <c r="D709" s="28">
        <v>8183.4512180720503</v>
      </c>
    </row>
    <row r="710" spans="1:4" x14ac:dyDescent="0.2">
      <c r="A710">
        <v>673</v>
      </c>
      <c r="B710" s="7">
        <v>0.76814940019748867</v>
      </c>
      <c r="C710" s="28">
        <v>7328.9057207862661</v>
      </c>
      <c r="D710" s="28">
        <v>9540.9899674490771</v>
      </c>
    </row>
    <row r="711" spans="1:4" x14ac:dyDescent="0.2">
      <c r="A711">
        <v>674</v>
      </c>
      <c r="B711" s="7">
        <v>0.75819066158750648</v>
      </c>
      <c r="C711" s="28">
        <v>7945.0632755266997</v>
      </c>
      <c r="D711" s="28">
        <v>10478.978017074563</v>
      </c>
    </row>
    <row r="712" spans="1:4" x14ac:dyDescent="0.2">
      <c r="A712">
        <v>675</v>
      </c>
      <c r="B712" s="7">
        <v>0.98534682261588813</v>
      </c>
      <c r="C712" s="28">
        <v>6896.127590419037</v>
      </c>
      <c r="D712" s="28">
        <v>6998.6804971992215</v>
      </c>
    </row>
    <row r="713" spans="1:4" x14ac:dyDescent="0.2">
      <c r="A713">
        <v>676</v>
      </c>
      <c r="B713" s="7">
        <v>0.89811312410078337</v>
      </c>
      <c r="C713" s="28">
        <v>7703.292090210638</v>
      </c>
      <c r="D713" s="28">
        <v>8577.1957713271313</v>
      </c>
    </row>
    <row r="714" spans="1:4" x14ac:dyDescent="0.2">
      <c r="A714">
        <v>677</v>
      </c>
      <c r="B714" s="7">
        <v>1.075032010732845</v>
      </c>
      <c r="C714" s="28">
        <v>7784.8594899799264</v>
      </c>
      <c r="D714" s="28">
        <v>7241.5141244705992</v>
      </c>
    </row>
    <row r="715" spans="1:4" x14ac:dyDescent="0.2">
      <c r="A715">
        <v>678</v>
      </c>
      <c r="B715" s="7">
        <v>0.74178996530093944</v>
      </c>
      <c r="C715" s="28">
        <v>6034.860351037034</v>
      </c>
      <c r="D715" s="28">
        <v>8135.5378656123094</v>
      </c>
    </row>
    <row r="716" spans="1:4" x14ac:dyDescent="0.2">
      <c r="A716">
        <v>679</v>
      </c>
      <c r="B716" s="7">
        <v>1.0493393041857182</v>
      </c>
      <c r="C716" s="28">
        <v>8262.0568052432227</v>
      </c>
      <c r="D716" s="28">
        <v>7873.5798538057579</v>
      </c>
    </row>
    <row r="717" spans="1:4" x14ac:dyDescent="0.2">
      <c r="A717">
        <v>680</v>
      </c>
      <c r="B717" s="7">
        <v>0.81478783233589347</v>
      </c>
      <c r="C717" s="28">
        <v>7538.1736129491092</v>
      </c>
      <c r="D717" s="28">
        <v>9251.7012574158362</v>
      </c>
    </row>
    <row r="718" spans="1:4" x14ac:dyDescent="0.2">
      <c r="A718">
        <v>681</v>
      </c>
      <c r="B718" s="7">
        <v>0.78355060207659388</v>
      </c>
      <c r="C718" s="28">
        <v>6833.5818569809489</v>
      </c>
      <c r="D718" s="28">
        <v>8721.3025411126546</v>
      </c>
    </row>
    <row r="719" spans="1:4" x14ac:dyDescent="0.2">
      <c r="A719">
        <v>682</v>
      </c>
      <c r="B719" s="7">
        <v>0.64330202561083993</v>
      </c>
      <c r="C719" s="28">
        <v>7186.743299247426</v>
      </c>
      <c r="D719" s="28">
        <v>11171.647240537348</v>
      </c>
    </row>
    <row r="720" spans="1:4" x14ac:dyDescent="0.2">
      <c r="A720">
        <v>683</v>
      </c>
      <c r="B720" s="7">
        <v>0.71735784644497258</v>
      </c>
      <c r="C720" s="28">
        <v>7903.791531155548</v>
      </c>
      <c r="D720" s="28">
        <v>11017.920233708403</v>
      </c>
    </row>
    <row r="721" spans="1:4" x14ac:dyDescent="0.2">
      <c r="A721">
        <v>684</v>
      </c>
      <c r="B721" s="7">
        <v>0.74311051066136713</v>
      </c>
      <c r="C721" s="28">
        <v>7756.5884454074749</v>
      </c>
      <c r="D721" s="28">
        <v>10438.001258391734</v>
      </c>
    </row>
    <row r="722" spans="1:4" x14ac:dyDescent="0.2">
      <c r="A722">
        <v>685</v>
      </c>
      <c r="B722" s="7">
        <v>0.81573643859642075</v>
      </c>
      <c r="C722" s="28">
        <v>8713.2122371031019</v>
      </c>
      <c r="D722" s="28">
        <v>10681.406180769982</v>
      </c>
    </row>
    <row r="723" spans="1:4" x14ac:dyDescent="0.2">
      <c r="A723">
        <v>686</v>
      </c>
      <c r="B723" s="7">
        <v>0.78828659640664789</v>
      </c>
      <c r="C723" s="28">
        <v>8501.0806573401096</v>
      </c>
      <c r="D723" s="28">
        <v>10784.251179826882</v>
      </c>
    </row>
    <row r="724" spans="1:4" x14ac:dyDescent="0.2">
      <c r="A724">
        <v>687</v>
      </c>
      <c r="B724" s="7">
        <v>0.94963533265556865</v>
      </c>
      <c r="C724" s="28">
        <v>6789.6842186507802</v>
      </c>
      <c r="D724" s="28">
        <v>7149.7805369815451</v>
      </c>
    </row>
    <row r="725" spans="1:4" x14ac:dyDescent="0.2">
      <c r="A725">
        <v>688</v>
      </c>
      <c r="B725" s="7">
        <v>0.87013730569393211</v>
      </c>
      <c r="C725" s="28">
        <v>5252.1761147596244</v>
      </c>
      <c r="D725" s="28">
        <v>6036.0314175600461</v>
      </c>
    </row>
    <row r="726" spans="1:4" x14ac:dyDescent="0.2">
      <c r="A726">
        <v>689</v>
      </c>
      <c r="B726" s="7">
        <v>0.65233184667340183</v>
      </c>
      <c r="C726" s="28">
        <v>6542.9981072982846</v>
      </c>
      <c r="D726" s="28">
        <v>10030.168143199851</v>
      </c>
    </row>
    <row r="727" spans="1:4" x14ac:dyDescent="0.2">
      <c r="A727">
        <v>690</v>
      </c>
      <c r="B727" s="7">
        <v>1.0181061615495723</v>
      </c>
      <c r="C727" s="28">
        <v>5707.413642991296</v>
      </c>
      <c r="D727" s="28">
        <v>5605.9120930026884</v>
      </c>
    </row>
    <row r="728" spans="1:4" x14ac:dyDescent="0.2">
      <c r="A728">
        <v>691</v>
      </c>
      <c r="B728" s="7">
        <v>1.1765517026443142</v>
      </c>
      <c r="C728" s="28">
        <v>8283.3358524854593</v>
      </c>
      <c r="D728" s="28">
        <v>7040.3500618532635</v>
      </c>
    </row>
    <row r="729" spans="1:4" x14ac:dyDescent="0.2">
      <c r="A729">
        <v>692</v>
      </c>
      <c r="B729" s="7">
        <v>0.70428975260721671</v>
      </c>
      <c r="C729" s="28">
        <v>7842.5133307550059</v>
      </c>
      <c r="D729" s="28">
        <v>11135.350616309173</v>
      </c>
    </row>
    <row r="730" spans="1:4" x14ac:dyDescent="0.2">
      <c r="A730">
        <v>693</v>
      </c>
      <c r="B730" s="7">
        <v>0.87449533293670978</v>
      </c>
      <c r="C730" s="28">
        <v>7361.6645767726877</v>
      </c>
      <c r="D730" s="28">
        <v>8418.1862378280712</v>
      </c>
    </row>
    <row r="731" spans="1:4" x14ac:dyDescent="0.2">
      <c r="A731">
        <v>694</v>
      </c>
      <c r="B731" s="7">
        <v>1.0348504353197683</v>
      </c>
      <c r="C731" s="28">
        <v>5853.4381363322154</v>
      </c>
      <c r="D731" s="28">
        <v>5656.3131603877673</v>
      </c>
    </row>
    <row r="732" spans="1:4" x14ac:dyDescent="0.2">
      <c r="A732">
        <v>695</v>
      </c>
      <c r="B732" s="7">
        <v>0.75704097159202632</v>
      </c>
      <c r="C732" s="28">
        <v>6147.2583238311145</v>
      </c>
      <c r="D732" s="28">
        <v>8120.113117396646</v>
      </c>
    </row>
    <row r="733" spans="1:4" x14ac:dyDescent="0.2">
      <c r="A733">
        <v>696</v>
      </c>
      <c r="B733" s="7">
        <v>1.0026222057130854</v>
      </c>
      <c r="C733" s="28">
        <v>6785.7016525535601</v>
      </c>
      <c r="D733" s="28">
        <v>6767.9546831175867</v>
      </c>
    </row>
    <row r="734" spans="1:4" x14ac:dyDescent="0.2">
      <c r="A734">
        <v>697</v>
      </c>
      <c r="B734" s="7">
        <v>0.89113046748422953</v>
      </c>
      <c r="C734" s="28">
        <v>7166.4710682850819</v>
      </c>
      <c r="D734" s="28">
        <v>8041.999830301962</v>
      </c>
    </row>
    <row r="735" spans="1:4" x14ac:dyDescent="0.2">
      <c r="A735">
        <v>698</v>
      </c>
      <c r="B735" s="7">
        <v>0.87294563830210414</v>
      </c>
      <c r="C735" s="28">
        <v>6093.0389318320158</v>
      </c>
      <c r="D735" s="28">
        <v>6979.8606745811712</v>
      </c>
    </row>
    <row r="736" spans="1:4" x14ac:dyDescent="0.2">
      <c r="A736">
        <v>699</v>
      </c>
      <c r="B736" s="7">
        <v>0.68467755802938957</v>
      </c>
      <c r="C736" s="28">
        <v>6435.0875114185728</v>
      </c>
      <c r="D736" s="28">
        <v>9398.7124829091426</v>
      </c>
    </row>
    <row r="737" spans="1:4" x14ac:dyDescent="0.2">
      <c r="A737">
        <v>700</v>
      </c>
      <c r="B737" s="7">
        <v>0.71039386439921692</v>
      </c>
      <c r="C737" s="28">
        <v>6621.3991597786844</v>
      </c>
      <c r="D737" s="28">
        <v>9320.7437333069156</v>
      </c>
    </row>
    <row r="738" spans="1:4" x14ac:dyDescent="0.2">
      <c r="A738">
        <v>701</v>
      </c>
      <c r="B738" s="7">
        <v>0.61269074620668995</v>
      </c>
      <c r="C738" s="28">
        <v>4865.1741462664395</v>
      </c>
      <c r="D738" s="28">
        <v>7940.6685614037051</v>
      </c>
    </row>
    <row r="739" spans="1:4" x14ac:dyDescent="0.2">
      <c r="A739">
        <v>702</v>
      </c>
      <c r="B739" s="35">
        <v>0.76404101884245001</v>
      </c>
      <c r="C739" s="36">
        <v>5140.4571792869901</v>
      </c>
      <c r="D739" s="36">
        <v>6727.9858705426186</v>
      </c>
    </row>
    <row r="740" spans="1:4" x14ac:dyDescent="0.2">
      <c r="A740">
        <v>703</v>
      </c>
      <c r="B740" s="7">
        <v>0.99045959983600351</v>
      </c>
      <c r="C740" s="28">
        <v>7869.6948071380302</v>
      </c>
      <c r="D740" s="28">
        <v>7945.498037922056</v>
      </c>
    </row>
    <row r="741" spans="1:4" x14ac:dyDescent="0.2">
      <c r="A741">
        <v>704</v>
      </c>
      <c r="B741" s="7">
        <v>0.86211767250452453</v>
      </c>
      <c r="C741" s="28">
        <v>8038.7680737896881</v>
      </c>
      <c r="D741" s="28">
        <v>9324.4441335211104</v>
      </c>
    </row>
    <row r="742" spans="1:4" x14ac:dyDescent="0.2">
      <c r="A742">
        <v>705</v>
      </c>
      <c r="B742" s="7">
        <v>0.76421032646132758</v>
      </c>
      <c r="C742" s="28">
        <v>6675.4410071446291</v>
      </c>
      <c r="D742" s="28">
        <v>8735.0834920737434</v>
      </c>
    </row>
    <row r="743" spans="1:4" x14ac:dyDescent="0.2">
      <c r="A743">
        <v>706</v>
      </c>
      <c r="B743" s="7">
        <v>1.108346757630529</v>
      </c>
      <c r="C743" s="28">
        <v>7033.5418284051448</v>
      </c>
      <c r="D743" s="28">
        <v>6345.9759141099039</v>
      </c>
    </row>
    <row r="744" spans="1:4" x14ac:dyDescent="0.2">
      <c r="A744">
        <v>707</v>
      </c>
      <c r="B744" s="7">
        <v>0.91393721510581294</v>
      </c>
      <c r="C744" s="28">
        <v>5275.9211880540061</v>
      </c>
      <c r="D744" s="28">
        <v>5772.7392000808013</v>
      </c>
    </row>
    <row r="745" spans="1:4" x14ac:dyDescent="0.2">
      <c r="A745">
        <v>708</v>
      </c>
      <c r="B745" s="7">
        <v>0.99414598256695452</v>
      </c>
      <c r="C745" s="28">
        <v>5277.7013602817515</v>
      </c>
      <c r="D745" s="28">
        <v>5308.7790453614843</v>
      </c>
    </row>
    <row r="746" spans="1:4" x14ac:dyDescent="0.2">
      <c r="A746">
        <v>709</v>
      </c>
      <c r="B746" s="7">
        <v>0.64106361120173538</v>
      </c>
      <c r="C746" s="28">
        <v>5668.3728104707679</v>
      </c>
      <c r="D746" s="28">
        <v>8842.1378337866627</v>
      </c>
    </row>
    <row r="747" spans="1:4" x14ac:dyDescent="0.2">
      <c r="A747">
        <v>710</v>
      </c>
      <c r="B747" s="7">
        <v>0.72796304853396521</v>
      </c>
      <c r="C747" s="28">
        <v>6843.5945473367519</v>
      </c>
      <c r="D747" s="28">
        <v>9401.0191329339759</v>
      </c>
    </row>
    <row r="748" spans="1:4" x14ac:dyDescent="0.2">
      <c r="A748">
        <v>711</v>
      </c>
      <c r="B748" s="7">
        <v>1.004960858948186</v>
      </c>
      <c r="C748" s="28">
        <v>5958.2995222660575</v>
      </c>
      <c r="D748" s="28">
        <v>5928.8871493981806</v>
      </c>
    </row>
    <row r="749" spans="1:4" x14ac:dyDescent="0.2">
      <c r="A749">
        <v>712</v>
      </c>
      <c r="B749" s="7">
        <v>0.68462262227753357</v>
      </c>
      <c r="C749" s="28">
        <v>6598.754244043972</v>
      </c>
      <c r="D749" s="28">
        <v>9638.5278974450212</v>
      </c>
    </row>
    <row r="750" spans="1:4" x14ac:dyDescent="0.2">
      <c r="A750">
        <v>713</v>
      </c>
      <c r="B750" s="7">
        <v>0.78660278675914164</v>
      </c>
      <c r="C750" s="28">
        <v>7025.4378671445174</v>
      </c>
      <c r="D750" s="28">
        <v>8931.3666127345059</v>
      </c>
    </row>
    <row r="751" spans="1:4" x14ac:dyDescent="0.2">
      <c r="A751">
        <v>714</v>
      </c>
      <c r="B751" s="7">
        <v>1.135270218429743</v>
      </c>
      <c r="C751" s="28">
        <v>6887.360362361911</v>
      </c>
      <c r="D751" s="28">
        <v>6066.7145588371131</v>
      </c>
    </row>
    <row r="752" spans="1:4" x14ac:dyDescent="0.2">
      <c r="A752">
        <v>715</v>
      </c>
      <c r="B752" s="7">
        <v>0.93371982580390078</v>
      </c>
      <c r="C752" s="28">
        <v>6679.5579072887012</v>
      </c>
      <c r="D752" s="28">
        <v>7153.7068429898991</v>
      </c>
    </row>
    <row r="753" spans="1:4" x14ac:dyDescent="0.2">
      <c r="A753">
        <v>716</v>
      </c>
      <c r="B753" s="7">
        <v>0.98352725657653739</v>
      </c>
      <c r="C753" s="28">
        <v>6210.8812961630538</v>
      </c>
      <c r="D753" s="28">
        <v>6314.9051077464746</v>
      </c>
    </row>
    <row r="754" spans="1:4" x14ac:dyDescent="0.2">
      <c r="A754">
        <v>717</v>
      </c>
      <c r="B754" s="7">
        <v>0.63421927696597891</v>
      </c>
      <c r="C754" s="28">
        <v>5795.8595399558362</v>
      </c>
      <c r="D754" s="28">
        <v>9138.5735982079586</v>
      </c>
    </row>
    <row r="755" spans="1:4" x14ac:dyDescent="0.2">
      <c r="A755">
        <v>718</v>
      </c>
      <c r="B755" s="7">
        <v>0.74693919564527</v>
      </c>
      <c r="C755" s="28">
        <v>7399.3598160479205</v>
      </c>
      <c r="D755" s="28">
        <v>9906.2411762388765</v>
      </c>
    </row>
    <row r="756" spans="1:4" x14ac:dyDescent="0.2">
      <c r="A756">
        <v>719</v>
      </c>
      <c r="B756" s="7">
        <v>0.83638304431220067</v>
      </c>
      <c r="C756" s="28">
        <v>8561.3513474423416</v>
      </c>
      <c r="D756" s="28">
        <v>10236.160818495269</v>
      </c>
    </row>
    <row r="757" spans="1:4" x14ac:dyDescent="0.2">
      <c r="A757">
        <v>720</v>
      </c>
      <c r="B757" s="7">
        <v>1.123755367868795</v>
      </c>
      <c r="C757" s="28">
        <v>7457.7374202115079</v>
      </c>
      <c r="D757" s="28">
        <v>6636.4420882412569</v>
      </c>
    </row>
    <row r="758" spans="1:4" x14ac:dyDescent="0.2">
      <c r="A758">
        <v>721</v>
      </c>
      <c r="B758" s="7">
        <v>0.82487538169366381</v>
      </c>
      <c r="C758" s="28">
        <v>6417.5744369958447</v>
      </c>
      <c r="D758" s="28">
        <v>7780.0533018927663</v>
      </c>
    </row>
    <row r="759" spans="1:4" x14ac:dyDescent="0.2">
      <c r="A759">
        <v>722</v>
      </c>
      <c r="B759" s="7">
        <v>0.9316869618556094</v>
      </c>
      <c r="C759" s="28">
        <v>7629.7915156606523</v>
      </c>
      <c r="D759" s="28">
        <v>8189.2221615559101</v>
      </c>
    </row>
    <row r="760" spans="1:4" x14ac:dyDescent="0.2">
      <c r="A760">
        <v>723</v>
      </c>
      <c r="B760" s="7">
        <v>0.72888788436772245</v>
      </c>
      <c r="C760" s="28">
        <v>6525.7897598886138</v>
      </c>
      <c r="D760" s="28">
        <v>8953.0775580793797</v>
      </c>
    </row>
    <row r="761" spans="1:4" x14ac:dyDescent="0.2">
      <c r="A761">
        <v>724</v>
      </c>
      <c r="B761" s="7">
        <v>0.94219222000194147</v>
      </c>
      <c r="C761" s="28">
        <v>7075.4715117082287</v>
      </c>
      <c r="D761" s="28">
        <v>7509.5838847975729</v>
      </c>
    </row>
    <row r="762" spans="1:4" x14ac:dyDescent="0.2">
      <c r="A762">
        <v>725</v>
      </c>
      <c r="B762" s="7">
        <v>0.85273969634324231</v>
      </c>
      <c r="C762" s="28">
        <v>7899.9327881584177</v>
      </c>
      <c r="D762" s="28">
        <v>9264.17853189581</v>
      </c>
    </row>
    <row r="763" spans="1:4" x14ac:dyDescent="0.2">
      <c r="A763">
        <v>726</v>
      </c>
      <c r="B763" s="7">
        <v>0.80409122536486155</v>
      </c>
      <c r="C763" s="28">
        <v>6475.3488020462628</v>
      </c>
      <c r="D763" s="28">
        <v>8053.0026914645559</v>
      </c>
    </row>
    <row r="764" spans="1:4" x14ac:dyDescent="0.2">
      <c r="A764">
        <v>727</v>
      </c>
      <c r="B764" s="7">
        <v>0.97136820866525309</v>
      </c>
      <c r="C764" s="28">
        <v>6731.0105295455814</v>
      </c>
      <c r="D764" s="28">
        <v>6929.4120082379395</v>
      </c>
    </row>
    <row r="765" spans="1:4" x14ac:dyDescent="0.2">
      <c r="A765">
        <v>728</v>
      </c>
      <c r="B765" s="7">
        <v>0.81169127188055512</v>
      </c>
      <c r="C765" s="28">
        <v>6598.1349311458598</v>
      </c>
      <c r="D765" s="28">
        <v>8128.872589524176</v>
      </c>
    </row>
    <row r="766" spans="1:4" x14ac:dyDescent="0.2">
      <c r="A766">
        <v>729</v>
      </c>
      <c r="B766" s="7">
        <v>0.66976990127414027</v>
      </c>
      <c r="C766" s="28">
        <v>7449.7064326300615</v>
      </c>
      <c r="D766" s="28">
        <v>11122.784733171906</v>
      </c>
    </row>
    <row r="767" spans="1:4" x14ac:dyDescent="0.2">
      <c r="A767">
        <v>730</v>
      </c>
      <c r="B767" s="35">
        <v>0.83242095502071223</v>
      </c>
      <c r="C767" s="36">
        <v>7166.7858008304011</v>
      </c>
      <c r="D767" s="36">
        <v>8609.569182039726</v>
      </c>
    </row>
    <row r="768" spans="1:4" x14ac:dyDescent="0.2">
      <c r="A768">
        <v>731</v>
      </c>
      <c r="B768" s="7">
        <v>0.89634548972575967</v>
      </c>
      <c r="C768" s="28">
        <v>6791.3564993890359</v>
      </c>
      <c r="D768" s="28">
        <v>7576.7174345540325</v>
      </c>
    </row>
    <row r="769" spans="1:4" x14ac:dyDescent="0.2">
      <c r="A769">
        <v>732</v>
      </c>
      <c r="B769" s="7">
        <v>0.8492808206317255</v>
      </c>
      <c r="C769" s="28">
        <v>7154.0018355138636</v>
      </c>
      <c r="D769" s="28">
        <v>8423.5998997274673</v>
      </c>
    </row>
    <row r="770" spans="1:4" x14ac:dyDescent="0.2">
      <c r="A770">
        <v>733</v>
      </c>
      <c r="B770" s="7">
        <v>0.8219405693845987</v>
      </c>
      <c r="C770" s="28">
        <v>6514.9784419558782</v>
      </c>
      <c r="D770" s="28">
        <v>7926.3376022840148</v>
      </c>
    </row>
    <row r="771" spans="1:4" x14ac:dyDescent="0.2">
      <c r="A771">
        <v>734</v>
      </c>
      <c r="B771" s="7">
        <v>0.66485493118547456</v>
      </c>
      <c r="C771" s="28">
        <v>6109.6894653555773</v>
      </c>
      <c r="D771" s="28">
        <v>9189.5076335850445</v>
      </c>
    </row>
    <row r="772" spans="1:4" x14ac:dyDescent="0.2">
      <c r="A772">
        <v>735</v>
      </c>
      <c r="B772" s="7">
        <v>0.69749611175355852</v>
      </c>
      <c r="C772" s="28">
        <v>6685.8203180997189</v>
      </c>
      <c r="D772" s="28">
        <v>9585.4589085680436</v>
      </c>
    </row>
    <row r="773" spans="1:4" x14ac:dyDescent="0.2">
      <c r="A773">
        <v>736</v>
      </c>
      <c r="B773" s="7">
        <v>0.76431486386044423</v>
      </c>
      <c r="C773" s="28">
        <v>6871.8467921686188</v>
      </c>
      <c r="D773" s="28">
        <v>8990.8585022930347</v>
      </c>
    </row>
    <row r="774" spans="1:4" x14ac:dyDescent="0.2">
      <c r="A774">
        <v>737</v>
      </c>
      <c r="B774" s="7">
        <v>0.7429723342569039</v>
      </c>
      <c r="C774" s="28">
        <v>5918.8640378618857</v>
      </c>
      <c r="D774" s="28">
        <v>7966.4662665827736</v>
      </c>
    </row>
    <row r="775" spans="1:4" x14ac:dyDescent="0.2">
      <c r="A775">
        <v>738</v>
      </c>
      <c r="B775" s="7">
        <v>0.97557640950111768</v>
      </c>
      <c r="C775" s="28">
        <v>6237.2789852915921</v>
      </c>
      <c r="D775" s="28">
        <v>6393.4294890147676</v>
      </c>
    </row>
    <row r="776" spans="1:4" x14ac:dyDescent="0.2">
      <c r="A776">
        <v>739</v>
      </c>
      <c r="B776" s="7">
        <v>0.77755939878372793</v>
      </c>
      <c r="C776" s="28">
        <v>7959.6048161614772</v>
      </c>
      <c r="D776" s="28">
        <v>10236.651796135486</v>
      </c>
    </row>
    <row r="777" spans="1:4" x14ac:dyDescent="0.2">
      <c r="A777">
        <v>740</v>
      </c>
      <c r="B777" s="35">
        <v>0.74664067016950142</v>
      </c>
      <c r="C777" s="36">
        <v>7681.0148748970878</v>
      </c>
      <c r="D777" s="36">
        <v>10287.431667971359</v>
      </c>
    </row>
    <row r="778" spans="1:4" x14ac:dyDescent="0.2">
      <c r="A778">
        <v>741</v>
      </c>
      <c r="B778" s="7">
        <v>0.73897164638915847</v>
      </c>
      <c r="C778" s="28">
        <v>6157.6526963143187</v>
      </c>
      <c r="D778" s="28">
        <v>8332.7320153655328</v>
      </c>
    </row>
    <row r="779" spans="1:4" x14ac:dyDescent="0.2">
      <c r="A779">
        <v>742</v>
      </c>
      <c r="B779" s="7">
        <v>0.78607743872716185</v>
      </c>
      <c r="C779" s="28">
        <v>6194.9651955747304</v>
      </c>
      <c r="D779" s="28">
        <v>7880.8586665529901</v>
      </c>
    </row>
    <row r="780" spans="1:4" x14ac:dyDescent="0.2">
      <c r="A780">
        <v>743</v>
      </c>
      <c r="B780" s="7">
        <v>0.61737831774625285</v>
      </c>
      <c r="C780" s="28">
        <v>6618.9566765399431</v>
      </c>
      <c r="D780" s="28">
        <v>10721.070834982553</v>
      </c>
    </row>
    <row r="781" spans="1:4" x14ac:dyDescent="0.2">
      <c r="A781">
        <v>744</v>
      </c>
      <c r="B781" s="7">
        <v>0.70874506356187261</v>
      </c>
      <c r="C781" s="28">
        <v>7641.7497045138625</v>
      </c>
      <c r="D781" s="28">
        <v>10782.08526223724</v>
      </c>
    </row>
    <row r="782" spans="1:4" x14ac:dyDescent="0.2">
      <c r="A782">
        <v>745</v>
      </c>
      <c r="B782" s="7">
        <v>0.64519976825232028</v>
      </c>
      <c r="C782" s="28">
        <v>7530.2124307273789</v>
      </c>
      <c r="D782" s="28">
        <v>11671.133192010873</v>
      </c>
    </row>
    <row r="783" spans="1:4" x14ac:dyDescent="0.2">
      <c r="A783">
        <v>746</v>
      </c>
      <c r="B783" s="7">
        <v>0.9707307713478972</v>
      </c>
      <c r="C783" s="28">
        <v>6015.0817795131861</v>
      </c>
      <c r="D783" s="28">
        <v>6196.4470036949715</v>
      </c>
    </row>
    <row r="784" spans="1:4" x14ac:dyDescent="0.2">
      <c r="A784">
        <v>747</v>
      </c>
      <c r="B784" s="7">
        <v>0.78287307048103294</v>
      </c>
      <c r="C784" s="28">
        <v>8043.3896155455477</v>
      </c>
      <c r="D784" s="28">
        <v>10274.193759919883</v>
      </c>
    </row>
    <row r="785" spans="1:4" x14ac:dyDescent="0.2">
      <c r="A785">
        <v>748</v>
      </c>
      <c r="B785" s="7">
        <v>1.1875386047490366</v>
      </c>
      <c r="C785" s="28">
        <v>4638.370310314589</v>
      </c>
      <c r="D785" s="28">
        <v>3905.8690738688188</v>
      </c>
    </row>
    <row r="786" spans="1:4" x14ac:dyDescent="0.2">
      <c r="A786">
        <v>749</v>
      </c>
      <c r="B786" s="7">
        <v>0.89706070832306217</v>
      </c>
      <c r="C786" s="28">
        <v>5276.7381958556944</v>
      </c>
      <c r="D786" s="28">
        <v>5882.2531707133485</v>
      </c>
    </row>
    <row r="787" spans="1:4" x14ac:dyDescent="0.2">
      <c r="A787">
        <v>750</v>
      </c>
      <c r="B787" s="7">
        <v>1.1014923297341008</v>
      </c>
      <c r="C787" s="28">
        <v>6029.9929423987069</v>
      </c>
      <c r="D787" s="28">
        <v>5474.3848682580856</v>
      </c>
    </row>
    <row r="788" spans="1:4" x14ac:dyDescent="0.2">
      <c r="A788">
        <v>751</v>
      </c>
      <c r="B788" s="7">
        <v>0.74901163892849709</v>
      </c>
      <c r="C788" s="28">
        <v>6518.8924097319341</v>
      </c>
      <c r="D788" s="28">
        <v>8703.3259176820975</v>
      </c>
    </row>
    <row r="789" spans="1:4" x14ac:dyDescent="0.2">
      <c r="A789">
        <v>752</v>
      </c>
      <c r="B789" s="7">
        <v>0.86450904182547106</v>
      </c>
      <c r="C789" s="28">
        <v>7052.1345726525378</v>
      </c>
      <c r="D789" s="28">
        <v>8157.3867148473828</v>
      </c>
    </row>
    <row r="790" spans="1:4" x14ac:dyDescent="0.2">
      <c r="A790">
        <v>753</v>
      </c>
      <c r="B790" s="7">
        <v>0.89376768338062185</v>
      </c>
      <c r="C790" s="28">
        <v>5638.3898779282717</v>
      </c>
      <c r="D790" s="28">
        <v>6308.5631565927797</v>
      </c>
    </row>
    <row r="791" spans="1:4" x14ac:dyDescent="0.2">
      <c r="A791">
        <v>754</v>
      </c>
      <c r="B791" s="7">
        <v>0.91107533352174475</v>
      </c>
      <c r="C791" s="28">
        <v>6805.7332590291935</v>
      </c>
      <c r="D791" s="28">
        <v>7470.0005681437542</v>
      </c>
    </row>
    <row r="792" spans="1:4" x14ac:dyDescent="0.2">
      <c r="A792">
        <v>755</v>
      </c>
      <c r="B792" s="7">
        <v>0.92896905788676332</v>
      </c>
      <c r="C792" s="28">
        <v>6417.6625158347651</v>
      </c>
      <c r="D792" s="28">
        <v>6908.3705871041466</v>
      </c>
    </row>
    <row r="793" spans="1:4" x14ac:dyDescent="0.2">
      <c r="A793">
        <v>756</v>
      </c>
      <c r="B793" s="7">
        <v>0.62229105935282991</v>
      </c>
      <c r="C793" s="28">
        <v>7643.3641247031446</v>
      </c>
      <c r="D793" s="28">
        <v>12282.619217849744</v>
      </c>
    </row>
    <row r="794" spans="1:4" x14ac:dyDescent="0.2">
      <c r="A794">
        <v>757</v>
      </c>
      <c r="B794" s="7">
        <v>0.75355901962020155</v>
      </c>
      <c r="C794" s="28">
        <v>5891.2418852381106</v>
      </c>
      <c r="D794" s="28">
        <v>7817.8904795105937</v>
      </c>
    </row>
    <row r="795" spans="1:4" x14ac:dyDescent="0.2">
      <c r="A795">
        <v>758</v>
      </c>
      <c r="B795" s="7">
        <v>0.88184396599324</v>
      </c>
      <c r="C795" s="28">
        <v>6156.0848282202587</v>
      </c>
      <c r="D795" s="28">
        <v>6980.923004090102</v>
      </c>
    </row>
    <row r="796" spans="1:4" x14ac:dyDescent="0.2">
      <c r="A796">
        <v>759</v>
      </c>
      <c r="B796" s="7">
        <v>0.81281443904185746</v>
      </c>
      <c r="C796" s="28">
        <v>7299.4585184004573</v>
      </c>
      <c r="D796" s="28">
        <v>8980.4734854427916</v>
      </c>
    </row>
    <row r="797" spans="1:4" x14ac:dyDescent="0.2">
      <c r="A797">
        <v>760</v>
      </c>
      <c r="B797" s="7">
        <v>0.7639747672837256</v>
      </c>
      <c r="C797" s="28">
        <v>7713.000221505572</v>
      </c>
      <c r="D797" s="28">
        <v>10095.883466058391</v>
      </c>
    </row>
    <row r="798" spans="1:4" x14ac:dyDescent="0.2">
      <c r="A798">
        <v>761</v>
      </c>
      <c r="B798" s="7">
        <v>1.1232557587300409</v>
      </c>
      <c r="C798" s="28">
        <v>6808.1546050795632</v>
      </c>
      <c r="D798" s="28">
        <v>6061.0903190711433</v>
      </c>
    </row>
    <row r="799" spans="1:4" x14ac:dyDescent="0.2">
      <c r="A799">
        <v>762</v>
      </c>
      <c r="B799" s="7">
        <v>0.80567006222334925</v>
      </c>
      <c r="C799" s="29">
        <v>6607.3905171374354</v>
      </c>
      <c r="D799" s="28">
        <v>8201.1121263504556</v>
      </c>
    </row>
    <row r="800" spans="1:4" x14ac:dyDescent="0.2">
      <c r="A800">
        <v>763</v>
      </c>
      <c r="B800" s="7">
        <v>0.87276581489077909</v>
      </c>
      <c r="C800" s="28">
        <v>7644.0977100366272</v>
      </c>
      <c r="D800" s="28">
        <v>8758.4751597921331</v>
      </c>
    </row>
    <row r="801" spans="1:4" x14ac:dyDescent="0.2">
      <c r="A801">
        <v>764</v>
      </c>
      <c r="B801" s="7">
        <v>0.78968071139183049</v>
      </c>
      <c r="C801" s="28">
        <v>6800.7028438805628</v>
      </c>
      <c r="D801" s="28">
        <v>8611.9652484536018</v>
      </c>
    </row>
    <row r="802" spans="1:4" x14ac:dyDescent="0.2">
      <c r="A802">
        <v>765</v>
      </c>
      <c r="B802" s="7">
        <v>0.82979570036801498</v>
      </c>
      <c r="C802" s="28">
        <v>6026.2252606698348</v>
      </c>
      <c r="D802" s="28">
        <v>7262.2999347878031</v>
      </c>
    </row>
    <row r="803" spans="1:4" x14ac:dyDescent="0.2">
      <c r="A803">
        <v>766</v>
      </c>
      <c r="B803" s="7">
        <v>0.68804480399696111</v>
      </c>
      <c r="C803" s="28">
        <v>8821.6237734472725</v>
      </c>
      <c r="D803" s="28">
        <v>12821.2926283304</v>
      </c>
    </row>
    <row r="804" spans="1:4" x14ac:dyDescent="0.2">
      <c r="A804">
        <v>767</v>
      </c>
      <c r="B804" s="7">
        <v>0.82522654036424559</v>
      </c>
      <c r="C804" s="28">
        <v>6127.8251130303906</v>
      </c>
      <c r="D804" s="28">
        <v>7425.6277680134217</v>
      </c>
    </row>
    <row r="805" spans="1:4" x14ac:dyDescent="0.2">
      <c r="A805">
        <v>768</v>
      </c>
      <c r="B805" s="7">
        <v>0.91562710854948115</v>
      </c>
      <c r="C805" s="28">
        <v>6061.6113567155644</v>
      </c>
      <c r="D805" s="28">
        <v>6620.1746323547068</v>
      </c>
    </row>
    <row r="806" spans="1:4" x14ac:dyDescent="0.2">
      <c r="A806">
        <v>769</v>
      </c>
      <c r="B806" s="7">
        <v>0.6214644048066047</v>
      </c>
      <c r="C806" s="28">
        <v>6321.7520271488302</v>
      </c>
      <c r="D806" s="28">
        <v>10172.347729418412</v>
      </c>
    </row>
    <row r="807" spans="1:4" x14ac:dyDescent="0.2">
      <c r="A807">
        <v>770</v>
      </c>
      <c r="B807" s="7">
        <v>0.95867943073234674</v>
      </c>
      <c r="C807" s="28">
        <v>6473.7647476652819</v>
      </c>
      <c r="D807" s="28">
        <v>6752.7940416119027</v>
      </c>
    </row>
    <row r="808" spans="1:4" x14ac:dyDescent="0.2">
      <c r="A808">
        <v>771</v>
      </c>
      <c r="B808" s="7">
        <v>0.7782297547967918</v>
      </c>
      <c r="C808" s="28">
        <v>6389.7187939045743</v>
      </c>
      <c r="D808" s="28">
        <v>8210.5814568514306</v>
      </c>
    </row>
    <row r="809" spans="1:4" x14ac:dyDescent="0.2">
      <c r="A809">
        <v>772</v>
      </c>
      <c r="B809" s="7">
        <v>0.83122751495660907</v>
      </c>
      <c r="C809" s="28">
        <v>7186.344506711127</v>
      </c>
      <c r="D809" s="28">
        <v>8645.4603311420233</v>
      </c>
    </row>
    <row r="810" spans="1:4" x14ac:dyDescent="0.2">
      <c r="A810">
        <v>773</v>
      </c>
      <c r="B810" s="7">
        <v>0.70274951336236047</v>
      </c>
      <c r="C810" s="28">
        <v>8692.7317192496903</v>
      </c>
      <c r="D810" s="28">
        <v>12369.60190503531</v>
      </c>
    </row>
    <row r="811" spans="1:4" x14ac:dyDescent="0.2">
      <c r="A811">
        <v>774</v>
      </c>
      <c r="B811" s="7">
        <v>0.80226017196920196</v>
      </c>
      <c r="C811" s="28">
        <v>7469.8499208331868</v>
      </c>
      <c r="D811" s="28">
        <v>9311.0068053084742</v>
      </c>
    </row>
    <row r="812" spans="1:4" x14ac:dyDescent="0.2">
      <c r="A812">
        <v>775</v>
      </c>
      <c r="B812" s="7">
        <v>0.83704263249427235</v>
      </c>
      <c r="C812" s="29">
        <v>8135.6197947374785</v>
      </c>
      <c r="D812" s="28">
        <v>9719.4807993165723</v>
      </c>
    </row>
    <row r="813" spans="1:4" x14ac:dyDescent="0.2">
      <c r="A813">
        <v>776</v>
      </c>
      <c r="B813" s="7">
        <v>0.90190588425290485</v>
      </c>
      <c r="C813" s="28">
        <v>7534.7073500281113</v>
      </c>
      <c r="D813" s="28">
        <v>8354.2057786544974</v>
      </c>
    </row>
    <row r="814" spans="1:4" x14ac:dyDescent="0.2">
      <c r="A814">
        <v>777</v>
      </c>
      <c r="B814" s="7">
        <v>0.88725899308150247</v>
      </c>
      <c r="C814" s="28">
        <v>6279.4742543253342</v>
      </c>
      <c r="D814" s="28">
        <v>7077.385862854263</v>
      </c>
    </row>
    <row r="815" spans="1:4" x14ac:dyDescent="0.2">
      <c r="A815">
        <v>778</v>
      </c>
      <c r="B815" s="7">
        <v>0.70814214497988548</v>
      </c>
      <c r="C815" s="28">
        <v>7190.7434656169162</v>
      </c>
      <c r="D815" s="28">
        <v>10154.378632302934</v>
      </c>
    </row>
    <row r="816" spans="1:4" x14ac:dyDescent="0.2">
      <c r="A816">
        <v>779</v>
      </c>
      <c r="B816" s="7">
        <v>0.91297111669799769</v>
      </c>
      <c r="C816" s="28">
        <v>6562.1113284142139</v>
      </c>
      <c r="D816" s="28">
        <v>7187.6439554274521</v>
      </c>
    </row>
    <row r="817" spans="1:4" x14ac:dyDescent="0.2">
      <c r="A817">
        <v>780</v>
      </c>
      <c r="B817" s="7">
        <v>1.0895869775107849</v>
      </c>
      <c r="C817" s="28">
        <v>6523.59174775477</v>
      </c>
      <c r="D817" s="28">
        <v>5987.2152314615914</v>
      </c>
    </row>
    <row r="818" spans="1:4" x14ac:dyDescent="0.2">
      <c r="A818">
        <v>781</v>
      </c>
      <c r="B818" s="35">
        <v>0.9014743270150074</v>
      </c>
      <c r="C818" s="36">
        <v>6457.125213124451</v>
      </c>
      <c r="D818" s="36">
        <v>7162.8498112702828</v>
      </c>
    </row>
    <row r="819" spans="1:4" x14ac:dyDescent="0.2">
      <c r="A819">
        <v>782</v>
      </c>
      <c r="B819" s="7">
        <v>0.9121939069200895</v>
      </c>
      <c r="C819" s="28">
        <v>6643.9450258664929</v>
      </c>
      <c r="D819" s="28">
        <v>7283.4788474952175</v>
      </c>
    </row>
    <row r="820" spans="1:4" x14ac:dyDescent="0.2">
      <c r="A820">
        <v>783</v>
      </c>
      <c r="B820" s="7">
        <v>1.0245360890586639</v>
      </c>
      <c r="C820" s="28">
        <v>4758.9550113643509</v>
      </c>
      <c r="D820" s="28">
        <v>4644.985239843375</v>
      </c>
    </row>
    <row r="821" spans="1:4" x14ac:dyDescent="0.2">
      <c r="A821">
        <v>784</v>
      </c>
      <c r="B821" s="7">
        <v>0.93933293534465534</v>
      </c>
      <c r="C821" s="28">
        <v>6210.6865623463364</v>
      </c>
      <c r="D821" s="28">
        <v>6611.8053872640403</v>
      </c>
    </row>
    <row r="822" spans="1:4" x14ac:dyDescent="0.2">
      <c r="A822">
        <v>785</v>
      </c>
      <c r="B822" s="7">
        <v>0.89613959995580217</v>
      </c>
      <c r="C822" s="28">
        <v>6542.5576832491597</v>
      </c>
      <c r="D822" s="28">
        <v>7300.8242059293443</v>
      </c>
    </row>
    <row r="823" spans="1:4" x14ac:dyDescent="0.2">
      <c r="A823">
        <v>786</v>
      </c>
      <c r="B823" s="7">
        <v>0.72806185488345321</v>
      </c>
      <c r="C823" s="28">
        <v>7341.3538624464509</v>
      </c>
      <c r="D823" s="28">
        <v>10083.420540719912</v>
      </c>
    </row>
    <row r="824" spans="1:4" x14ac:dyDescent="0.2">
      <c r="A824">
        <v>787</v>
      </c>
      <c r="B824" s="7">
        <v>1.003447878600948</v>
      </c>
      <c r="C824" s="28">
        <v>7771.8427746099951</v>
      </c>
      <c r="D824" s="28">
        <v>7745.1384773924146</v>
      </c>
    </row>
    <row r="825" spans="1:4" x14ac:dyDescent="0.2">
      <c r="A825">
        <v>788</v>
      </c>
      <c r="B825" s="7">
        <v>0.9145750351669113</v>
      </c>
      <c r="C825" s="28">
        <v>6293.9540831621434</v>
      </c>
      <c r="D825" s="28">
        <v>6881.8345582913134</v>
      </c>
    </row>
    <row r="826" spans="1:4" x14ac:dyDescent="0.2">
      <c r="A826">
        <v>789</v>
      </c>
      <c r="B826" s="7">
        <v>0.82853039688755015</v>
      </c>
      <c r="C826" s="28">
        <v>7183.0698356488701</v>
      </c>
      <c r="D826" s="28">
        <v>8669.6515452332533</v>
      </c>
    </row>
    <row r="827" spans="1:4" x14ac:dyDescent="0.2">
      <c r="A827">
        <v>790</v>
      </c>
      <c r="B827" s="7">
        <v>0.86684029290165476</v>
      </c>
      <c r="C827" s="28">
        <v>6415.2832718586815</v>
      </c>
      <c r="D827" s="28">
        <v>7400.7672744239999</v>
      </c>
    </row>
    <row r="828" spans="1:4" x14ac:dyDescent="0.2">
      <c r="A828">
        <v>791</v>
      </c>
      <c r="B828" s="7">
        <v>0.77609470312562401</v>
      </c>
      <c r="C828" s="28">
        <v>7007.6409368379336</v>
      </c>
      <c r="D828" s="28">
        <v>9029.3631803123244</v>
      </c>
    </row>
    <row r="829" spans="1:4" x14ac:dyDescent="0.2">
      <c r="A829">
        <v>792</v>
      </c>
      <c r="B829" s="7">
        <v>0.67851272630291426</v>
      </c>
      <c r="C829" s="28">
        <v>9025.1725287947083</v>
      </c>
      <c r="D829" s="28">
        <v>13301.404938962814</v>
      </c>
    </row>
    <row r="830" spans="1:4" x14ac:dyDescent="0.2">
      <c r="A830">
        <v>793</v>
      </c>
      <c r="B830" s="7">
        <v>1.0393555801336101</v>
      </c>
      <c r="C830" s="28">
        <v>7752.7849162352832</v>
      </c>
      <c r="D830" s="28">
        <v>7459.222872732983</v>
      </c>
    </row>
    <row r="831" spans="1:4" x14ac:dyDescent="0.2">
      <c r="A831">
        <v>794</v>
      </c>
      <c r="B831" s="7">
        <v>0.86679477051069753</v>
      </c>
      <c r="C831" s="28">
        <v>8232.8130417448338</v>
      </c>
      <c r="D831" s="28">
        <v>9497.9957445915716</v>
      </c>
    </row>
    <row r="832" spans="1:4" x14ac:dyDescent="0.2">
      <c r="A832">
        <v>795</v>
      </c>
      <c r="B832" s="7">
        <v>0.74006478383086893</v>
      </c>
      <c r="C832" s="28">
        <v>8313.0054613946195</v>
      </c>
      <c r="D832" s="28">
        <v>11232.807779831388</v>
      </c>
    </row>
    <row r="833" spans="1:4" x14ac:dyDescent="0.2">
      <c r="A833">
        <v>796</v>
      </c>
      <c r="B833" s="7">
        <v>0.91097307012913031</v>
      </c>
      <c r="C833" s="28">
        <v>6473.6885145528031</v>
      </c>
      <c r="D833" s="28">
        <v>7106.3445526827245</v>
      </c>
    </row>
    <row r="834" spans="1:4" x14ac:dyDescent="0.2">
      <c r="A834">
        <v>797</v>
      </c>
      <c r="B834" s="7">
        <v>0.72698076532841682</v>
      </c>
      <c r="C834" s="28">
        <v>6176.8169477223009</v>
      </c>
      <c r="D834" s="28">
        <v>8496.5342170117747</v>
      </c>
    </row>
    <row r="835" spans="1:4" x14ac:dyDescent="0.2">
      <c r="A835">
        <v>798</v>
      </c>
      <c r="B835" s="7">
        <v>0.66415314993970131</v>
      </c>
      <c r="C835" s="28">
        <v>7616.5149352910939</v>
      </c>
      <c r="D835" s="28">
        <v>11468.00995520777</v>
      </c>
    </row>
    <row r="836" spans="1:4" x14ac:dyDescent="0.2">
      <c r="A836">
        <v>799</v>
      </c>
      <c r="B836" s="7">
        <v>0.97268215942383485</v>
      </c>
      <c r="C836" s="29">
        <v>9046.9279536515405</v>
      </c>
      <c r="D836" s="28">
        <v>9301.0115030900324</v>
      </c>
    </row>
    <row r="837" spans="1:4" x14ac:dyDescent="0.2">
      <c r="A837">
        <v>800</v>
      </c>
      <c r="B837" s="7">
        <v>0.96591055452376651</v>
      </c>
      <c r="C837" s="28">
        <v>5511.7856569930336</v>
      </c>
      <c r="D837" s="28">
        <v>5706.3106218055254</v>
      </c>
    </row>
    <row r="838" spans="1:4" x14ac:dyDescent="0.2">
      <c r="A838">
        <v>801</v>
      </c>
      <c r="B838" s="7">
        <v>0.82121063575383069</v>
      </c>
      <c r="C838" s="28">
        <v>8014.9690713612017</v>
      </c>
      <c r="D838" s="28">
        <v>9759.9430918279049</v>
      </c>
    </row>
    <row r="839" spans="1:4" x14ac:dyDescent="0.2">
      <c r="A839">
        <v>802</v>
      </c>
      <c r="B839" s="7">
        <v>0.66527911741254186</v>
      </c>
      <c r="C839" s="28">
        <v>8022.7413301940196</v>
      </c>
      <c r="D839" s="28">
        <v>12059.211119382078</v>
      </c>
    </row>
    <row r="840" spans="1:4" x14ac:dyDescent="0.2">
      <c r="A840">
        <v>803</v>
      </c>
      <c r="B840" s="7">
        <v>0.85012829406487622</v>
      </c>
      <c r="C840" s="28">
        <v>6682.9357180139323</v>
      </c>
      <c r="D840" s="28">
        <v>7861.0908079056762</v>
      </c>
    </row>
    <row r="841" spans="1:4" x14ac:dyDescent="0.2">
      <c r="A841">
        <v>804</v>
      </c>
      <c r="B841" s="7">
        <v>0.73925193527859179</v>
      </c>
      <c r="C841" s="28">
        <v>7239.804446852515</v>
      </c>
      <c r="D841" s="28">
        <v>9793.4196738005812</v>
      </c>
    </row>
    <row r="842" spans="1:4" x14ac:dyDescent="0.2">
      <c r="A842">
        <v>805</v>
      </c>
      <c r="B842" s="7">
        <v>0.92978163476592801</v>
      </c>
      <c r="C842" s="28">
        <v>6231.0263606916578</v>
      </c>
      <c r="D842" s="28">
        <v>6701.6018898462271</v>
      </c>
    </row>
    <row r="843" spans="1:4" x14ac:dyDescent="0.2">
      <c r="A843">
        <v>806</v>
      </c>
      <c r="B843" s="7">
        <v>1.1122464441084539</v>
      </c>
      <c r="C843" s="28">
        <v>5777.2600846359364</v>
      </c>
      <c r="D843" s="28">
        <v>5194.2266169857967</v>
      </c>
    </row>
    <row r="844" spans="1:4" x14ac:dyDescent="0.2">
      <c r="A844">
        <v>807</v>
      </c>
      <c r="B844" s="7">
        <v>0.89720251756654257</v>
      </c>
      <c r="C844" s="28">
        <v>8247.2083125654153</v>
      </c>
      <c r="D844" s="28">
        <v>9192.1368376607879</v>
      </c>
    </row>
    <row r="845" spans="1:4" x14ac:dyDescent="0.2">
      <c r="A845">
        <v>808</v>
      </c>
      <c r="B845" s="35">
        <v>0.80393436304159582</v>
      </c>
      <c r="C845" s="36">
        <v>7312.3235962312519</v>
      </c>
      <c r="D845" s="36">
        <v>9095.6723986345023</v>
      </c>
    </row>
    <row r="846" spans="1:4" x14ac:dyDescent="0.2">
      <c r="A846">
        <v>809</v>
      </c>
      <c r="B846" s="7">
        <v>1.1113087743385996</v>
      </c>
      <c r="C846" s="28">
        <v>6726.8468189720234</v>
      </c>
      <c r="D846" s="28">
        <v>6053.0853119337025</v>
      </c>
    </row>
    <row r="847" spans="1:4" x14ac:dyDescent="0.2">
      <c r="A847">
        <v>810</v>
      </c>
      <c r="B847" s="7">
        <v>0.91620420245176692</v>
      </c>
      <c r="C847" s="28">
        <v>7747.8053434472286</v>
      </c>
      <c r="D847" s="28">
        <v>8456.4176006986909</v>
      </c>
    </row>
    <row r="848" spans="1:4" x14ac:dyDescent="0.2">
      <c r="A848">
        <v>811</v>
      </c>
      <c r="B848" s="7">
        <v>0.73739178328228405</v>
      </c>
      <c r="C848" s="28">
        <v>7839.3399760851298</v>
      </c>
      <c r="D848" s="28">
        <v>10631.173487166616</v>
      </c>
    </row>
    <row r="849" spans="1:4" x14ac:dyDescent="0.2">
      <c r="A849">
        <v>812</v>
      </c>
      <c r="B849" s="7">
        <v>0.60129433736651627</v>
      </c>
      <c r="C849" s="28">
        <v>5868.1187936497827</v>
      </c>
      <c r="D849" s="28">
        <v>9759.1452787503913</v>
      </c>
    </row>
    <row r="850" spans="1:4" x14ac:dyDescent="0.2">
      <c r="A850">
        <v>813</v>
      </c>
      <c r="B850" s="7">
        <v>0.62394289004332748</v>
      </c>
      <c r="C850" s="28">
        <v>6267.9100717220408</v>
      </c>
      <c r="D850" s="28">
        <v>10045.647080435179</v>
      </c>
    </row>
    <row r="851" spans="1:4" x14ac:dyDescent="0.2">
      <c r="A851">
        <v>814</v>
      </c>
      <c r="B851" s="7">
        <v>0.81346976694332707</v>
      </c>
      <c r="C851" s="28">
        <v>6444.5101222741632</v>
      </c>
      <c r="D851" s="28">
        <v>7922.2490916778479</v>
      </c>
    </row>
    <row r="852" spans="1:4" x14ac:dyDescent="0.2">
      <c r="A852">
        <v>815</v>
      </c>
      <c r="B852" s="7">
        <v>0.45655096374687254</v>
      </c>
      <c r="C852" s="28">
        <v>8278.26479546679</v>
      </c>
      <c r="D852" s="28">
        <v>18132.181186362675</v>
      </c>
    </row>
    <row r="853" spans="1:4" x14ac:dyDescent="0.2">
      <c r="A853">
        <v>816</v>
      </c>
      <c r="B853" s="7">
        <v>0.82574842494646106</v>
      </c>
      <c r="C853" s="28">
        <v>6736.7969092848725</v>
      </c>
      <c r="D853" s="28">
        <v>8158.4132718408337</v>
      </c>
    </row>
    <row r="854" spans="1:4" x14ac:dyDescent="0.2">
      <c r="A854">
        <v>817</v>
      </c>
      <c r="B854" s="7">
        <v>0.68742707446320228</v>
      </c>
      <c r="C854" s="28">
        <v>7514.5292898416119</v>
      </c>
      <c r="D854" s="28">
        <v>10931.383951831624</v>
      </c>
    </row>
    <row r="855" spans="1:4" x14ac:dyDescent="0.2">
      <c r="A855">
        <v>818</v>
      </c>
      <c r="B855" s="7">
        <v>0.80479292113451795</v>
      </c>
      <c r="C855" s="28">
        <v>7012.1860099423993</v>
      </c>
      <c r="D855" s="28">
        <v>8713.0314218685089</v>
      </c>
    </row>
    <row r="856" spans="1:4" x14ac:dyDescent="0.2">
      <c r="A856">
        <v>819</v>
      </c>
      <c r="B856" s="7">
        <v>0.96028096477901492</v>
      </c>
      <c r="C856" s="28">
        <v>9025.4308204376412</v>
      </c>
      <c r="D856" s="28">
        <v>9398.739693350708</v>
      </c>
    </row>
    <row r="857" spans="1:4" x14ac:dyDescent="0.2">
      <c r="A857">
        <v>820</v>
      </c>
      <c r="B857" s="7">
        <v>0.71810037396954041</v>
      </c>
      <c r="C857" s="28">
        <v>6965.9635358002088</v>
      </c>
      <c r="D857" s="28">
        <v>9700.5429718599244</v>
      </c>
    </row>
    <row r="858" spans="1:4" x14ac:dyDescent="0.2">
      <c r="A858">
        <v>821</v>
      </c>
      <c r="B858" s="7">
        <v>0.56163112139762461</v>
      </c>
      <c r="C858" s="28">
        <v>7796.8255304790364</v>
      </c>
      <c r="D858" s="28">
        <v>13882.467038287619</v>
      </c>
    </row>
    <row r="859" spans="1:4" x14ac:dyDescent="0.2">
      <c r="A859">
        <v>822</v>
      </c>
      <c r="B859" s="7">
        <v>0.74760950733757525</v>
      </c>
      <c r="C859" s="28">
        <v>7182.7907928263103</v>
      </c>
      <c r="D859" s="28">
        <v>9607.6771661265084</v>
      </c>
    </row>
    <row r="860" spans="1:4" x14ac:dyDescent="0.2">
      <c r="A860">
        <v>823</v>
      </c>
      <c r="B860" s="7">
        <v>0.86361980852440379</v>
      </c>
      <c r="C860" s="28">
        <v>7224.8579771070363</v>
      </c>
      <c r="D860" s="28">
        <v>8365.7853905083048</v>
      </c>
    </row>
    <row r="861" spans="1:4" x14ac:dyDescent="0.2">
      <c r="A861">
        <v>824</v>
      </c>
      <c r="B861" s="7">
        <v>0.69355811678379986</v>
      </c>
      <c r="C861" s="28">
        <v>8367.2988576366406</v>
      </c>
      <c r="D861" s="28">
        <v>12064.308174256355</v>
      </c>
    </row>
    <row r="862" spans="1:4" x14ac:dyDescent="0.2">
      <c r="A862">
        <v>825</v>
      </c>
      <c r="B862" s="7">
        <v>0.86906094291997249</v>
      </c>
      <c r="C862" s="28">
        <v>4420.8494873124491</v>
      </c>
      <c r="D862" s="28">
        <v>5086.926898887853</v>
      </c>
    </row>
    <row r="863" spans="1:4" x14ac:dyDescent="0.2">
      <c r="A863">
        <v>826</v>
      </c>
      <c r="B863" s="7">
        <v>1.1547239120077819</v>
      </c>
      <c r="C863" s="28">
        <v>7759.4291827366305</v>
      </c>
      <c r="D863" s="28">
        <v>6719.7267693581271</v>
      </c>
    </row>
    <row r="864" spans="1:4" x14ac:dyDescent="0.2">
      <c r="A864">
        <v>827</v>
      </c>
      <c r="B864" s="7">
        <v>0.72196135290693064</v>
      </c>
      <c r="C864" s="28">
        <v>8346.5623125911279</v>
      </c>
      <c r="D864" s="28">
        <v>11560.954445808262</v>
      </c>
    </row>
    <row r="865" spans="1:4" x14ac:dyDescent="0.2">
      <c r="A865">
        <v>828</v>
      </c>
      <c r="B865" s="7">
        <v>0.98278706796768489</v>
      </c>
      <c r="C865" s="28">
        <v>4973.6015799598617</v>
      </c>
      <c r="D865" s="28">
        <v>5060.7112588943828</v>
      </c>
    </row>
    <row r="866" spans="1:4" x14ac:dyDescent="0.2">
      <c r="A866">
        <v>829</v>
      </c>
      <c r="B866" s="7">
        <v>0.50322142170000106</v>
      </c>
      <c r="C866" s="29">
        <v>8183.1675416349663</v>
      </c>
      <c r="D866" s="28">
        <v>16261.564370591159</v>
      </c>
    </row>
    <row r="867" spans="1:4" x14ac:dyDescent="0.2">
      <c r="A867">
        <v>830</v>
      </c>
      <c r="B867" s="7">
        <v>0.94165416997601437</v>
      </c>
      <c r="C867" s="28">
        <v>7406.5183103831314</v>
      </c>
      <c r="D867" s="28">
        <v>7865.4335599361166</v>
      </c>
    </row>
    <row r="868" spans="1:4" x14ac:dyDescent="0.2">
      <c r="A868">
        <v>831</v>
      </c>
      <c r="B868" s="7">
        <v>0.71675116018098173</v>
      </c>
      <c r="C868" s="28">
        <v>4609.0871767254775</v>
      </c>
      <c r="D868" s="28">
        <v>6430.5262869217677</v>
      </c>
    </row>
    <row r="869" spans="1:4" x14ac:dyDescent="0.2">
      <c r="A869">
        <v>832</v>
      </c>
      <c r="B869" s="7">
        <v>0.83010401187739902</v>
      </c>
      <c r="C869" s="28">
        <v>7830.6271140122753</v>
      </c>
      <c r="D869" s="28">
        <v>9433.3083589153975</v>
      </c>
    </row>
    <row r="870" spans="1:4" x14ac:dyDescent="0.2">
      <c r="A870">
        <v>833</v>
      </c>
      <c r="B870" s="7">
        <v>0.95670761939586058</v>
      </c>
      <c r="C870" s="28">
        <v>6009.8810703563631</v>
      </c>
      <c r="D870" s="28">
        <v>6281.8367372797429</v>
      </c>
    </row>
    <row r="871" spans="1:4" x14ac:dyDescent="0.2">
      <c r="A871">
        <v>834</v>
      </c>
      <c r="B871" s="7">
        <v>0.75316553249603579</v>
      </c>
      <c r="C871" s="28">
        <v>8656.7348437859582</v>
      </c>
      <c r="D871" s="28">
        <v>11493.801123767598</v>
      </c>
    </row>
    <row r="872" spans="1:4" x14ac:dyDescent="0.2">
      <c r="A872">
        <v>835</v>
      </c>
      <c r="B872" s="7">
        <v>0.75718297964738568</v>
      </c>
      <c r="C872" s="28">
        <v>4832.4587939837347</v>
      </c>
      <c r="D872" s="28">
        <v>6382.1545437196355</v>
      </c>
    </row>
    <row r="873" spans="1:4" x14ac:dyDescent="0.2">
      <c r="A873">
        <v>836</v>
      </c>
      <c r="B873" s="7">
        <v>0.90941555572576682</v>
      </c>
      <c r="C873" s="28">
        <v>6252.2657516650215</v>
      </c>
      <c r="D873" s="28">
        <v>6875.0371733803777</v>
      </c>
    </row>
    <row r="874" spans="1:4" x14ac:dyDescent="0.2">
      <c r="A874">
        <v>837</v>
      </c>
      <c r="B874" s="7">
        <v>0.75187778159726903</v>
      </c>
      <c r="C874" s="28">
        <v>5752.8175522824185</v>
      </c>
      <c r="D874" s="28">
        <v>7651.2668589052955</v>
      </c>
    </row>
    <row r="875" spans="1:4" x14ac:dyDescent="0.2">
      <c r="A875">
        <v>838</v>
      </c>
      <c r="B875" s="7">
        <v>0.81563796926399323</v>
      </c>
      <c r="C875" s="28">
        <v>5768.3467822257262</v>
      </c>
      <c r="D875" s="28">
        <v>7072.1901132568728</v>
      </c>
    </row>
    <row r="876" spans="1:4" x14ac:dyDescent="0.2">
      <c r="A876">
        <v>839</v>
      </c>
      <c r="B876" s="7">
        <v>0.87123449961576949</v>
      </c>
      <c r="C876" s="28">
        <v>7002.3232336579149</v>
      </c>
      <c r="D876" s="28">
        <v>8037.2428281318853</v>
      </c>
    </row>
    <row r="877" spans="1:4" x14ac:dyDescent="0.2">
      <c r="A877">
        <v>840</v>
      </c>
      <c r="B877" s="7">
        <v>1.157321811787849</v>
      </c>
      <c r="C877" s="28">
        <v>7594.6056281783731</v>
      </c>
      <c r="D877" s="28">
        <v>6562.2245695396568</v>
      </c>
    </row>
    <row r="878" spans="1:4" x14ac:dyDescent="0.2">
      <c r="A878">
        <v>841</v>
      </c>
      <c r="B878" s="7">
        <v>0.90055644048506966</v>
      </c>
      <c r="C878" s="28">
        <v>6196.0486978082126</v>
      </c>
      <c r="D878" s="28">
        <v>6880.2447234410038</v>
      </c>
    </row>
    <row r="879" spans="1:4" x14ac:dyDescent="0.2">
      <c r="A879">
        <v>842</v>
      </c>
      <c r="B879" s="7">
        <v>0.73308735531170388</v>
      </c>
      <c r="C879" s="28">
        <v>8402.6885170803216</v>
      </c>
      <c r="D879" s="28">
        <v>11462.056269552697</v>
      </c>
    </row>
    <row r="880" spans="1:4" x14ac:dyDescent="0.2">
      <c r="A880">
        <v>843</v>
      </c>
      <c r="B880" s="7">
        <v>0.66248494094235255</v>
      </c>
      <c r="C880" s="28">
        <v>9637.5762150236496</v>
      </c>
      <c r="D880" s="28">
        <v>14547.615529667237</v>
      </c>
    </row>
    <row r="881" spans="1:4" x14ac:dyDescent="0.2">
      <c r="A881">
        <v>844</v>
      </c>
      <c r="B881" s="7">
        <v>0.79429930965869922</v>
      </c>
      <c r="C881" s="28">
        <v>8439.1633322957859</v>
      </c>
      <c r="D881" s="28">
        <v>10624.664065139365</v>
      </c>
    </row>
    <row r="882" spans="1:4" x14ac:dyDescent="0.2">
      <c r="A882">
        <v>845</v>
      </c>
      <c r="B882" s="7">
        <v>0.85887011383435397</v>
      </c>
      <c r="C882" s="28">
        <v>7357.1210002328307</v>
      </c>
      <c r="D882" s="28">
        <v>8566.0461130584445</v>
      </c>
    </row>
    <row r="883" spans="1:4" x14ac:dyDescent="0.2">
      <c r="A883">
        <v>846</v>
      </c>
      <c r="B883" s="7">
        <v>0.72891438235867057</v>
      </c>
      <c r="C883" s="28">
        <v>6280.2621423413784</v>
      </c>
      <c r="D883" s="28">
        <v>8615.9119566543341</v>
      </c>
    </row>
    <row r="884" spans="1:4" x14ac:dyDescent="0.2">
      <c r="A884">
        <v>847</v>
      </c>
      <c r="B884" s="7">
        <v>0.6668633174570795</v>
      </c>
      <c r="C884" s="28">
        <v>7110.6802426825507</v>
      </c>
      <c r="D884" s="28">
        <v>10662.875069808</v>
      </c>
    </row>
    <row r="885" spans="1:4" x14ac:dyDescent="0.2">
      <c r="A885">
        <v>848</v>
      </c>
      <c r="B885" s="7">
        <v>0.85080680772037454</v>
      </c>
      <c r="C885" s="28">
        <v>5082.3261850927283</v>
      </c>
      <c r="D885" s="28">
        <v>5973.5372812896921</v>
      </c>
    </row>
    <row r="886" spans="1:4" x14ac:dyDescent="0.2">
      <c r="A886">
        <v>849</v>
      </c>
      <c r="B886" s="7">
        <v>1.06250577528757</v>
      </c>
      <c r="C886" s="28">
        <v>6295.5343879849424</v>
      </c>
      <c r="D886" s="28">
        <v>5925.176629069183</v>
      </c>
    </row>
    <row r="887" spans="1:4" x14ac:dyDescent="0.2">
      <c r="A887">
        <v>850</v>
      </c>
      <c r="B887" s="7">
        <v>0.77115733961975064</v>
      </c>
      <c r="C887" s="28">
        <v>6599.6416682154122</v>
      </c>
      <c r="D887" s="28">
        <v>8558.1000518903493</v>
      </c>
    </row>
    <row r="888" spans="1:4" x14ac:dyDescent="0.2">
      <c r="A888">
        <v>851</v>
      </c>
      <c r="B888" s="7">
        <v>0.67149573046575206</v>
      </c>
      <c r="C888" s="28">
        <v>8591.1463053372445</v>
      </c>
      <c r="D888" s="28">
        <v>12794.044571777682</v>
      </c>
    </row>
    <row r="889" spans="1:4" x14ac:dyDescent="0.2">
      <c r="A889">
        <v>852</v>
      </c>
      <c r="B889" s="35">
        <v>0.73481954398519278</v>
      </c>
      <c r="C889" s="36">
        <v>7248.9216967410048</v>
      </c>
      <c r="D889" s="36">
        <v>9864.9005134341896</v>
      </c>
    </row>
    <row r="890" spans="1:4" x14ac:dyDescent="0.2">
      <c r="A890">
        <v>853</v>
      </c>
      <c r="B890" s="7">
        <v>0.76152460805714739</v>
      </c>
      <c r="C890" s="28">
        <v>6424.0203533798249</v>
      </c>
      <c r="D890" s="28">
        <v>8435.7357403974329</v>
      </c>
    </row>
    <row r="891" spans="1:4" x14ac:dyDescent="0.2">
      <c r="A891">
        <v>854</v>
      </c>
      <c r="B891" s="7">
        <v>0.98000789644324371</v>
      </c>
      <c r="C891" s="28">
        <v>8122.5625232187831</v>
      </c>
      <c r="D891" s="28">
        <v>8288.2623218630306</v>
      </c>
    </row>
    <row r="892" spans="1:4" x14ac:dyDescent="0.2">
      <c r="A892">
        <v>855</v>
      </c>
      <c r="B892" s="7">
        <v>0.80458414331720718</v>
      </c>
      <c r="C892" s="28">
        <v>6704.9922553227352</v>
      </c>
      <c r="D892" s="28">
        <v>8333.4879403399991</v>
      </c>
    </row>
    <row r="893" spans="1:4" x14ac:dyDescent="0.2">
      <c r="A893">
        <v>856</v>
      </c>
      <c r="B893" s="7">
        <v>0.64379818760456153</v>
      </c>
      <c r="C893" s="28">
        <v>7570.2742142096286</v>
      </c>
      <c r="D893" s="28">
        <v>11758.769067643754</v>
      </c>
    </row>
    <row r="894" spans="1:4" x14ac:dyDescent="0.2">
      <c r="A894">
        <v>857</v>
      </c>
      <c r="B894" s="7">
        <v>0.81741474648185619</v>
      </c>
      <c r="C894" s="28">
        <v>6826.2707445980086</v>
      </c>
      <c r="D894" s="28">
        <v>8351.0491754378054</v>
      </c>
    </row>
    <row r="895" spans="1:4" x14ac:dyDescent="0.2">
      <c r="A895">
        <v>858</v>
      </c>
      <c r="B895" s="7">
        <v>0.78333001453953521</v>
      </c>
      <c r="C895" s="28">
        <v>7025.3198133758851</v>
      </c>
      <c r="D895" s="28">
        <v>8968.531376275143</v>
      </c>
    </row>
    <row r="896" spans="1:4" x14ac:dyDescent="0.2">
      <c r="A896">
        <v>859</v>
      </c>
      <c r="B896" s="7">
        <v>0.90728340669141971</v>
      </c>
      <c r="C896" s="28">
        <v>5349.7058900627944</v>
      </c>
      <c r="D896" s="28">
        <v>5896.4000119560296</v>
      </c>
    </row>
    <row r="897" spans="1:4" x14ac:dyDescent="0.2">
      <c r="A897">
        <v>860</v>
      </c>
      <c r="B897" s="7">
        <v>0.78272865957117332</v>
      </c>
      <c r="C897" s="28">
        <v>4923.807595575392</v>
      </c>
      <c r="D897" s="28">
        <v>6290.5676639883804</v>
      </c>
    </row>
    <row r="898" spans="1:4" x14ac:dyDescent="0.2">
      <c r="A898">
        <v>861</v>
      </c>
      <c r="B898" s="7">
        <v>0.96320258960468408</v>
      </c>
      <c r="C898" s="28">
        <v>6305.5812424190481</v>
      </c>
      <c r="D898" s="28">
        <v>6546.4745531954741</v>
      </c>
    </row>
    <row r="899" spans="1:4" x14ac:dyDescent="0.2">
      <c r="A899">
        <v>862</v>
      </c>
      <c r="B899" s="7">
        <v>0.81456480698616573</v>
      </c>
      <c r="C899" s="28">
        <v>7235.7364391420633</v>
      </c>
      <c r="D899" s="28">
        <v>8882.9475286488196</v>
      </c>
    </row>
    <row r="900" spans="1:4" x14ac:dyDescent="0.2">
      <c r="A900">
        <v>863</v>
      </c>
      <c r="B900" s="7">
        <v>0.8374154339655</v>
      </c>
      <c r="C900" s="28">
        <v>6804.6638567944447</v>
      </c>
      <c r="D900" s="28">
        <v>8125.792266057977</v>
      </c>
    </row>
    <row r="901" spans="1:4" x14ac:dyDescent="0.2">
      <c r="A901">
        <v>864</v>
      </c>
      <c r="B901" s="7">
        <v>0.81880375217663293</v>
      </c>
      <c r="C901" s="28">
        <v>7785.1112009706158</v>
      </c>
      <c r="D901" s="28">
        <v>9507.9085559578707</v>
      </c>
    </row>
    <row r="902" spans="1:4" x14ac:dyDescent="0.2">
      <c r="A902">
        <v>865</v>
      </c>
      <c r="B902" s="7">
        <v>0.92717547983112425</v>
      </c>
      <c r="C902" s="28">
        <v>5996.3867268709746</v>
      </c>
      <c r="D902" s="28">
        <v>6467.369831612843</v>
      </c>
    </row>
    <row r="903" spans="1:4" x14ac:dyDescent="0.2">
      <c r="A903">
        <v>866</v>
      </c>
      <c r="B903" s="7">
        <v>0.72157506260688997</v>
      </c>
      <c r="C903" s="28">
        <v>9107.4564778036729</v>
      </c>
      <c r="D903" s="28">
        <v>12621.634185777515</v>
      </c>
    </row>
    <row r="904" spans="1:4" x14ac:dyDescent="0.2">
      <c r="A904">
        <v>867</v>
      </c>
      <c r="B904" s="7">
        <v>1.0849619729605795</v>
      </c>
      <c r="C904" s="28">
        <v>6097.4920556541183</v>
      </c>
      <c r="D904" s="28">
        <v>5620.005315961117</v>
      </c>
    </row>
    <row r="905" spans="1:4" x14ac:dyDescent="0.2">
      <c r="A905">
        <v>868</v>
      </c>
      <c r="B905" s="7">
        <v>1.0246537613905833</v>
      </c>
      <c r="C905" s="28">
        <v>6372.8601620131594</v>
      </c>
      <c r="D905" s="28">
        <v>6219.5254652307049</v>
      </c>
    </row>
    <row r="906" spans="1:4" x14ac:dyDescent="0.2">
      <c r="A906">
        <v>869</v>
      </c>
      <c r="B906" s="7">
        <v>0.74484698093894597</v>
      </c>
      <c r="C906" s="28">
        <v>7539.9299535562204</v>
      </c>
      <c r="D906" s="28">
        <v>10122.790514706077</v>
      </c>
    </row>
    <row r="907" spans="1:4" x14ac:dyDescent="0.2">
      <c r="A907">
        <v>870</v>
      </c>
      <c r="B907" s="7">
        <v>0.7816294545757998</v>
      </c>
      <c r="C907" s="28">
        <v>6063.5898687429763</v>
      </c>
      <c r="D907" s="28">
        <v>7757.6271380839444</v>
      </c>
    </row>
    <row r="908" spans="1:4" x14ac:dyDescent="0.2">
      <c r="A908">
        <v>871</v>
      </c>
      <c r="B908" s="35">
        <v>0.74140962644085917</v>
      </c>
      <c r="C908" s="36">
        <v>6954.4328770643187</v>
      </c>
      <c r="D908" s="36">
        <v>9380.0142715291022</v>
      </c>
    </row>
    <row r="909" spans="1:4" x14ac:dyDescent="0.2">
      <c r="A909">
        <v>872</v>
      </c>
      <c r="B909" s="7">
        <v>1.3489327469742678</v>
      </c>
      <c r="C909" s="28">
        <v>6281.4969571946331</v>
      </c>
      <c r="D909" s="28">
        <v>4656.6420537157137</v>
      </c>
    </row>
    <row r="910" spans="1:4" x14ac:dyDescent="0.2">
      <c r="A910">
        <v>873</v>
      </c>
      <c r="B910" s="7">
        <v>0.79491546211584208</v>
      </c>
      <c r="C910" s="28">
        <v>8362.5126940682712</v>
      </c>
      <c r="D910" s="28">
        <v>10520.002557013557</v>
      </c>
    </row>
    <row r="911" spans="1:4" x14ac:dyDescent="0.2">
      <c r="A911">
        <v>874</v>
      </c>
      <c r="B911" s="7">
        <v>0.816334545742194</v>
      </c>
      <c r="C911" s="28">
        <v>6161.9364242824795</v>
      </c>
      <c r="D911" s="28">
        <v>7548.2980065240017</v>
      </c>
    </row>
    <row r="912" spans="1:4" x14ac:dyDescent="0.2">
      <c r="A912">
        <v>875</v>
      </c>
      <c r="B912" s="7">
        <v>0.54832983099944954</v>
      </c>
      <c r="C912" s="28">
        <v>8031.8189726144574</v>
      </c>
      <c r="D912" s="28">
        <v>14647.787733843939</v>
      </c>
    </row>
    <row r="913" spans="1:4" x14ac:dyDescent="0.2">
      <c r="A913">
        <v>876</v>
      </c>
      <c r="B913" s="7">
        <v>0.67331927196787067</v>
      </c>
      <c r="C913" s="28">
        <v>6404.476170627313</v>
      </c>
      <c r="D913" s="28">
        <v>9511.7969101186227</v>
      </c>
    </row>
    <row r="914" spans="1:4" x14ac:dyDescent="0.2">
      <c r="A914">
        <v>877</v>
      </c>
      <c r="B914" s="7">
        <v>0.89566868547524336</v>
      </c>
      <c r="C914" s="28">
        <v>7399.8585171975155</v>
      </c>
      <c r="D914" s="28">
        <v>8261.8256473610418</v>
      </c>
    </row>
    <row r="915" spans="1:4" x14ac:dyDescent="0.2">
      <c r="A915">
        <v>878</v>
      </c>
      <c r="B915" s="7">
        <v>0.75411291515600087</v>
      </c>
      <c r="C915" s="28">
        <v>7920.4195884518995</v>
      </c>
      <c r="D915" s="28">
        <v>10502.962393653514</v>
      </c>
    </row>
    <row r="916" spans="1:4" x14ac:dyDescent="0.2">
      <c r="A916">
        <v>879</v>
      </c>
      <c r="B916" s="7">
        <v>0.87491353533996641</v>
      </c>
      <c r="C916" s="28">
        <v>6627.5646885516417</v>
      </c>
      <c r="D916" s="28">
        <v>7575.1081916641733</v>
      </c>
    </row>
    <row r="917" spans="1:4" x14ac:dyDescent="0.2">
      <c r="A917">
        <v>880</v>
      </c>
      <c r="B917" s="7">
        <v>0.99966448012482534</v>
      </c>
      <c r="C917" s="28">
        <v>6156.7853020299754</v>
      </c>
      <c r="D917" s="28">
        <v>6158.8517191900173</v>
      </c>
    </row>
    <row r="918" spans="1:4" x14ac:dyDescent="0.2">
      <c r="A918">
        <v>881</v>
      </c>
      <c r="B918" s="7">
        <v>0.72316739982283895</v>
      </c>
      <c r="C918" s="28">
        <v>6459.7321344713437</v>
      </c>
      <c r="D918" s="28">
        <v>8932.5543934279176</v>
      </c>
    </row>
    <row r="919" spans="1:4" x14ac:dyDescent="0.2">
      <c r="A919">
        <v>882</v>
      </c>
      <c r="B919" s="7">
        <v>0.84697771407205735</v>
      </c>
      <c r="C919" s="28">
        <v>5491.7042416093882</v>
      </c>
      <c r="D919" s="28">
        <v>6483.8828110442782</v>
      </c>
    </row>
    <row r="920" spans="1:4" x14ac:dyDescent="0.2">
      <c r="A920">
        <v>883</v>
      </c>
      <c r="B920" s="7">
        <v>0.76938053180267829</v>
      </c>
      <c r="C920" s="28">
        <v>7715.1661243295184</v>
      </c>
      <c r="D920" s="28">
        <v>10027.763642852629</v>
      </c>
    </row>
    <row r="921" spans="1:4" x14ac:dyDescent="0.2">
      <c r="A921">
        <v>884</v>
      </c>
      <c r="B921" s="7">
        <v>0.84226132032325918</v>
      </c>
      <c r="C921" s="28">
        <v>7760.3564866976722</v>
      </c>
      <c r="D921" s="28">
        <v>9213.7158616274264</v>
      </c>
    </row>
    <row r="922" spans="1:4" x14ac:dyDescent="0.2">
      <c r="A922">
        <v>885</v>
      </c>
      <c r="B922" s="7">
        <v>1.0374115814739504</v>
      </c>
      <c r="C922" s="28">
        <v>6710.6586889072814</v>
      </c>
      <c r="D922" s="28">
        <v>6468.6560365682471</v>
      </c>
    </row>
    <row r="923" spans="1:4" x14ac:dyDescent="0.2">
      <c r="A923">
        <v>886</v>
      </c>
      <c r="B923" s="7">
        <v>0.95784780058145103</v>
      </c>
      <c r="C923" s="28">
        <v>6598.1467208472495</v>
      </c>
      <c r="D923" s="28">
        <v>6888.5126810772199</v>
      </c>
    </row>
    <row r="924" spans="1:4" x14ac:dyDescent="0.2">
      <c r="A924">
        <v>887</v>
      </c>
      <c r="B924" s="7">
        <v>0.5568135689410223</v>
      </c>
      <c r="C924" s="28">
        <v>7504.4127393855342</v>
      </c>
      <c r="D924" s="28">
        <v>13477.424326526068</v>
      </c>
    </row>
    <row r="925" spans="1:4" x14ac:dyDescent="0.2">
      <c r="A925">
        <v>888</v>
      </c>
      <c r="B925" s="7">
        <v>0.88035427212034367</v>
      </c>
      <c r="C925" s="28">
        <v>8295.9405003175307</v>
      </c>
      <c r="D925" s="28">
        <v>9423.4114186061252</v>
      </c>
    </row>
    <row r="926" spans="1:4" x14ac:dyDescent="0.2">
      <c r="A926">
        <v>889</v>
      </c>
      <c r="B926" s="7">
        <v>0.89984191193581253</v>
      </c>
      <c r="C926" s="28">
        <v>6473.7356261139812</v>
      </c>
      <c r="D926" s="28">
        <v>7194.303288437809</v>
      </c>
    </row>
    <row r="927" spans="1:4" x14ac:dyDescent="0.2">
      <c r="A927">
        <v>890</v>
      </c>
      <c r="B927" s="7">
        <v>0.6471326882631967</v>
      </c>
      <c r="C927" s="28">
        <v>7002.2151640393649</v>
      </c>
      <c r="D927" s="28">
        <v>10820.370058623092</v>
      </c>
    </row>
    <row r="928" spans="1:4" x14ac:dyDescent="0.2">
      <c r="A928">
        <v>891</v>
      </c>
      <c r="B928" s="35">
        <v>1.1959943004506419</v>
      </c>
      <c r="C928" s="36">
        <v>6547.3165120902468</v>
      </c>
      <c r="D928" s="36">
        <v>5474.3709979414334</v>
      </c>
    </row>
    <row r="929" spans="1:4" x14ac:dyDescent="0.2">
      <c r="A929">
        <v>892</v>
      </c>
      <c r="B929" s="7">
        <v>0.79784831215097007</v>
      </c>
      <c r="C929" s="28">
        <v>5851.5297140178936</v>
      </c>
      <c r="D929" s="28">
        <v>7334.1381123466717</v>
      </c>
    </row>
    <row r="930" spans="1:4" x14ac:dyDescent="0.2">
      <c r="A930">
        <v>893</v>
      </c>
      <c r="B930" s="7">
        <v>0.74258455872934892</v>
      </c>
      <c r="C930" s="28">
        <v>5863.9586291491505</v>
      </c>
      <c r="D930" s="28">
        <v>7896.6880743966531</v>
      </c>
    </row>
    <row r="931" spans="1:4" x14ac:dyDescent="0.2">
      <c r="A931">
        <v>894</v>
      </c>
      <c r="B931" s="7">
        <v>0.67092561445232413</v>
      </c>
      <c r="C931" s="28">
        <v>7376.7794055538307</v>
      </c>
      <c r="D931" s="28">
        <v>10994.928866407177</v>
      </c>
    </row>
    <row r="932" spans="1:4" x14ac:dyDescent="0.2">
      <c r="A932">
        <v>895</v>
      </c>
      <c r="B932" s="7">
        <v>0.91469748009478025</v>
      </c>
      <c r="C932" s="28">
        <v>7366.1112524832315</v>
      </c>
      <c r="D932" s="28">
        <v>8053.0573362025234</v>
      </c>
    </row>
    <row r="933" spans="1:4" x14ac:dyDescent="0.2">
      <c r="A933">
        <v>896</v>
      </c>
      <c r="B933" s="7">
        <v>0.91677518964631499</v>
      </c>
      <c r="C933" s="28">
        <v>5859.1106994555767</v>
      </c>
      <c r="D933" s="28">
        <v>6391.0005044049867</v>
      </c>
    </row>
    <row r="934" spans="1:4" x14ac:dyDescent="0.2">
      <c r="A934">
        <v>897</v>
      </c>
      <c r="B934" s="7">
        <v>0.67618144956280268</v>
      </c>
      <c r="C934" s="28">
        <v>4901.2211687202762</v>
      </c>
      <c r="D934" s="28">
        <v>7248.3815873524027</v>
      </c>
    </row>
    <row r="935" spans="1:4" x14ac:dyDescent="0.2">
      <c r="A935">
        <v>898</v>
      </c>
      <c r="B935" s="7">
        <v>0.73824529950512474</v>
      </c>
      <c r="C935" s="28">
        <v>7710.2605492530747</v>
      </c>
      <c r="D935" s="28">
        <v>10444.036087221375</v>
      </c>
    </row>
    <row r="936" spans="1:4" x14ac:dyDescent="0.2">
      <c r="A936">
        <v>899</v>
      </c>
      <c r="B936" s="7">
        <v>0.72739974771810267</v>
      </c>
      <c r="C936" s="28">
        <v>7017.4671977577027</v>
      </c>
      <c r="D936" s="28">
        <v>9647.3324602763823</v>
      </c>
    </row>
    <row r="937" spans="1:4" x14ac:dyDescent="0.2">
      <c r="A937">
        <v>900</v>
      </c>
      <c r="B937" s="7">
        <v>0.5299321438340403</v>
      </c>
      <c r="C937" s="28">
        <v>8251.1833928750875</v>
      </c>
      <c r="D937" s="28">
        <v>15570.264021310479</v>
      </c>
    </row>
    <row r="938" spans="1:4" x14ac:dyDescent="0.2">
      <c r="A938">
        <v>901</v>
      </c>
      <c r="B938" s="35">
        <v>0.7937023959437699</v>
      </c>
      <c r="C938" s="36">
        <v>7602.8926327249064</v>
      </c>
      <c r="D938" s="36">
        <v>9579.0218998703076</v>
      </c>
    </row>
    <row r="939" spans="1:4" x14ac:dyDescent="0.2">
      <c r="A939">
        <v>902</v>
      </c>
      <c r="B939" s="7">
        <v>1.0448692266193742</v>
      </c>
      <c r="C939" s="28">
        <v>6761.1373145169655</v>
      </c>
      <c r="D939" s="28">
        <v>6470.7976292806625</v>
      </c>
    </row>
    <row r="940" spans="1:4" x14ac:dyDescent="0.2">
      <c r="A940">
        <v>903</v>
      </c>
      <c r="B940" s="7">
        <v>0.68464864019954064</v>
      </c>
      <c r="C940" s="28">
        <v>7702.4601867655911</v>
      </c>
      <c r="D940" s="28">
        <v>11250.23805571382</v>
      </c>
    </row>
    <row r="941" spans="1:4" x14ac:dyDescent="0.2">
      <c r="A941">
        <v>904</v>
      </c>
      <c r="B941" s="7">
        <v>1.1166918890242687</v>
      </c>
      <c r="C941" s="28">
        <v>5939.183376330815</v>
      </c>
      <c r="D941" s="28">
        <v>5318.5515491836268</v>
      </c>
    </row>
    <row r="942" spans="1:4" x14ac:dyDescent="0.2">
      <c r="A942">
        <v>905</v>
      </c>
      <c r="B942" s="7">
        <v>0.81997556259711946</v>
      </c>
      <c r="C942" s="28">
        <v>7393.1467192756709</v>
      </c>
      <c r="D942" s="28">
        <v>9016.3012856861969</v>
      </c>
    </row>
    <row r="943" spans="1:4" x14ac:dyDescent="0.2">
      <c r="A943">
        <v>906</v>
      </c>
      <c r="B943" s="7">
        <v>0.74174029329420854</v>
      </c>
      <c r="C943" s="28">
        <v>4779.1932007556352</v>
      </c>
      <c r="D943" s="28">
        <v>6443.2163709623173</v>
      </c>
    </row>
    <row r="944" spans="1:4" x14ac:dyDescent="0.2">
      <c r="A944">
        <v>907</v>
      </c>
      <c r="B944" s="7">
        <v>0.82552434120112483</v>
      </c>
      <c r="C944" s="28">
        <v>8375.0395908790615</v>
      </c>
      <c r="D944" s="28">
        <v>10145.115259343549</v>
      </c>
    </row>
    <row r="945" spans="1:4" x14ac:dyDescent="0.2">
      <c r="A945">
        <v>908</v>
      </c>
      <c r="B945" s="7">
        <v>0.95431128701061763</v>
      </c>
      <c r="C945" s="28">
        <v>7053.6438033142258</v>
      </c>
      <c r="D945" s="28">
        <v>7391.3448361380924</v>
      </c>
    </row>
    <row r="946" spans="1:4" x14ac:dyDescent="0.2">
      <c r="A946">
        <v>909</v>
      </c>
      <c r="B946" s="7">
        <v>0.77321032445636106</v>
      </c>
      <c r="C946" s="28">
        <v>5265.4232010462256</v>
      </c>
      <c r="D946" s="28">
        <v>6809.8200896997969</v>
      </c>
    </row>
    <row r="947" spans="1:4" x14ac:dyDescent="0.2">
      <c r="A947">
        <v>910</v>
      </c>
      <c r="B947" s="7">
        <v>0.73367288977318523</v>
      </c>
      <c r="C947" s="28">
        <v>7109.0067108200965</v>
      </c>
      <c r="D947" s="28">
        <v>9689.6134638664971</v>
      </c>
    </row>
    <row r="948" spans="1:4" x14ac:dyDescent="0.2">
      <c r="A948">
        <v>911</v>
      </c>
      <c r="B948" s="7">
        <v>0.74586431159862787</v>
      </c>
      <c r="C948" s="28">
        <v>6325.3021527562614</v>
      </c>
      <c r="D948" s="28">
        <v>8480.4998099441145</v>
      </c>
    </row>
    <row r="949" spans="1:4" x14ac:dyDescent="0.2">
      <c r="A949">
        <v>912</v>
      </c>
      <c r="B949" s="7">
        <v>0.92413992057853722</v>
      </c>
      <c r="C949" s="28">
        <v>6969.5780743752057</v>
      </c>
      <c r="D949" s="28">
        <v>7541.6913815518938</v>
      </c>
    </row>
    <row r="950" spans="1:4" x14ac:dyDescent="0.2">
      <c r="A950">
        <v>913</v>
      </c>
      <c r="B950" s="7">
        <v>0.87616745087825976</v>
      </c>
      <c r="C950" s="28">
        <v>6709.513079450162</v>
      </c>
      <c r="D950" s="28">
        <v>7657.7976877874498</v>
      </c>
    </row>
    <row r="951" spans="1:4" x14ac:dyDescent="0.2">
      <c r="A951">
        <v>914</v>
      </c>
      <c r="B951" s="7">
        <v>0.8475216801756984</v>
      </c>
      <c r="C951" s="29">
        <v>7068.2492061396224</v>
      </c>
      <c r="D951" s="28">
        <v>8339.9037115774008</v>
      </c>
    </row>
    <row r="952" spans="1:4" x14ac:dyDescent="0.2">
      <c r="A952">
        <v>915</v>
      </c>
      <c r="B952" s="7">
        <v>0.61098240179802232</v>
      </c>
      <c r="C952" s="28">
        <v>8029.8454263062777</v>
      </c>
      <c r="D952" s="28">
        <v>13142.51507518996</v>
      </c>
    </row>
    <row r="953" spans="1:4" x14ac:dyDescent="0.2">
      <c r="A953">
        <v>916</v>
      </c>
      <c r="B953" s="7">
        <v>0.80079624579481479</v>
      </c>
      <c r="C953" s="28">
        <v>6923.2798559275352</v>
      </c>
      <c r="D953" s="28">
        <v>8645.494896215414</v>
      </c>
    </row>
    <row r="954" spans="1:4" x14ac:dyDescent="0.2">
      <c r="A954">
        <v>917</v>
      </c>
      <c r="B954" s="7">
        <v>1.1376856831336459</v>
      </c>
      <c r="C954" s="28">
        <v>5281.1547245852598</v>
      </c>
      <c r="D954" s="28">
        <v>4642.0156312759655</v>
      </c>
    </row>
    <row r="955" spans="1:4" x14ac:dyDescent="0.2">
      <c r="A955">
        <v>918</v>
      </c>
      <c r="B955" s="7">
        <v>0.68742822400354342</v>
      </c>
      <c r="C955" s="28">
        <v>6798.8344233423222</v>
      </c>
      <c r="D955" s="28">
        <v>9890.2462627244076</v>
      </c>
    </row>
    <row r="956" spans="1:4" x14ac:dyDescent="0.2">
      <c r="A956">
        <v>919</v>
      </c>
      <c r="B956" s="7">
        <v>0.90531521820106065</v>
      </c>
      <c r="C956" s="28">
        <v>5528.9196643607502</v>
      </c>
      <c r="D956" s="28">
        <v>6107.1763217978269</v>
      </c>
    </row>
    <row r="957" spans="1:4" x14ac:dyDescent="0.2">
      <c r="A957">
        <v>920</v>
      </c>
      <c r="B957" s="7">
        <v>1.0978839737492407</v>
      </c>
      <c r="C957" s="28">
        <v>6883.3701621791424</v>
      </c>
      <c r="D957" s="28">
        <v>6269.6699530758615</v>
      </c>
    </row>
    <row r="958" spans="1:4" x14ac:dyDescent="0.2">
      <c r="A958">
        <v>921</v>
      </c>
      <c r="B958" s="7">
        <v>1.0533240164705582</v>
      </c>
      <c r="C958" s="28">
        <v>7279.839271379331</v>
      </c>
      <c r="D958" s="28">
        <v>6911.3009459068116</v>
      </c>
    </row>
    <row r="959" spans="1:4" x14ac:dyDescent="0.2">
      <c r="A959">
        <v>922</v>
      </c>
      <c r="B959" s="7">
        <v>0.77889721539445844</v>
      </c>
      <c r="C959" s="28">
        <v>5342.6759658366755</v>
      </c>
      <c r="D959" s="28">
        <v>6859.2824062555846</v>
      </c>
    </row>
    <row r="960" spans="1:4" x14ac:dyDescent="0.2">
      <c r="A960">
        <v>923</v>
      </c>
      <c r="B960" s="7">
        <v>0.54633164402098711</v>
      </c>
      <c r="C960" s="28">
        <v>6693.5716208564718</v>
      </c>
      <c r="D960" s="28">
        <v>12251.846829870505</v>
      </c>
    </row>
    <row r="961" spans="1:4" x14ac:dyDescent="0.2">
      <c r="A961">
        <v>924</v>
      </c>
      <c r="B961" s="7">
        <v>0.67537190682657844</v>
      </c>
      <c r="C961" s="28">
        <v>6722.69486836342</v>
      </c>
      <c r="D961" s="28">
        <v>9954.0635321238933</v>
      </c>
    </row>
    <row r="962" spans="1:4" x14ac:dyDescent="0.2">
      <c r="A962">
        <v>925</v>
      </c>
      <c r="B962" s="7">
        <v>1.0426360126463248</v>
      </c>
      <c r="C962" s="28">
        <v>5386.0153552391748</v>
      </c>
      <c r="D962" s="28">
        <v>5165.7676215967986</v>
      </c>
    </row>
    <row r="963" spans="1:4" x14ac:dyDescent="0.2">
      <c r="A963">
        <v>926</v>
      </c>
      <c r="B963" s="7">
        <v>0.75812042131390456</v>
      </c>
      <c r="C963" s="28">
        <v>4647.5361468247265</v>
      </c>
      <c r="D963" s="28">
        <v>6130.3402680672343</v>
      </c>
    </row>
    <row r="964" spans="1:4" x14ac:dyDescent="0.2">
      <c r="A964">
        <v>927</v>
      </c>
      <c r="B964" s="7">
        <v>0.8234545878859949</v>
      </c>
      <c r="C964" s="28">
        <v>7072.8976701290876</v>
      </c>
      <c r="D964" s="28">
        <v>8589.2990022520971</v>
      </c>
    </row>
    <row r="965" spans="1:4" x14ac:dyDescent="0.2">
      <c r="A965">
        <v>928</v>
      </c>
      <c r="B965" s="7">
        <v>0.92830932168402658</v>
      </c>
      <c r="C965" s="28">
        <v>4802.4576021011017</v>
      </c>
      <c r="D965" s="28">
        <v>5173.3376902744694</v>
      </c>
    </row>
    <row r="966" spans="1:4" x14ac:dyDescent="0.2">
      <c r="A966">
        <v>929</v>
      </c>
      <c r="B966" s="7">
        <v>0.93414567314518493</v>
      </c>
      <c r="C966" s="28">
        <v>6506.7555022668112</v>
      </c>
      <c r="D966" s="28">
        <v>6965.4612651141952</v>
      </c>
    </row>
    <row r="967" spans="1:4" x14ac:dyDescent="0.2">
      <c r="A967">
        <v>930</v>
      </c>
      <c r="B967" s="7">
        <v>0.82777005058098219</v>
      </c>
      <c r="C967" s="28">
        <v>7242.9900871987447</v>
      </c>
      <c r="D967" s="28">
        <v>8750.0025908344342</v>
      </c>
    </row>
    <row r="968" spans="1:4" x14ac:dyDescent="0.2">
      <c r="A968">
        <v>931</v>
      </c>
      <c r="B968" s="7">
        <v>1.1038730229719391</v>
      </c>
      <c r="C968" s="28">
        <v>5355.2810186718489</v>
      </c>
      <c r="D968" s="28">
        <v>4851.3560049270109</v>
      </c>
    </row>
    <row r="969" spans="1:4" x14ac:dyDescent="0.2">
      <c r="A969">
        <v>932</v>
      </c>
      <c r="B969" s="7">
        <v>0.81540715941271369</v>
      </c>
      <c r="C969" s="28">
        <v>5047.4125469709979</v>
      </c>
      <c r="D969" s="28">
        <v>6190.0517903305272</v>
      </c>
    </row>
    <row r="970" spans="1:4" x14ac:dyDescent="0.2">
      <c r="A970">
        <v>933</v>
      </c>
      <c r="B970" s="7">
        <v>0.74192003424749942</v>
      </c>
      <c r="C970" s="28">
        <v>4661.7147501508589</v>
      </c>
      <c r="D970" s="28">
        <v>6283.3115901487345</v>
      </c>
    </row>
    <row r="971" spans="1:4" x14ac:dyDescent="0.2">
      <c r="A971">
        <v>934</v>
      </c>
      <c r="B971" s="7">
        <v>0.77276901135771681</v>
      </c>
      <c r="C971" s="28">
        <v>6134.9517942448092</v>
      </c>
      <c r="D971" s="28">
        <v>7938.9205623890166</v>
      </c>
    </row>
    <row r="972" spans="1:4" x14ac:dyDescent="0.2">
      <c r="A972">
        <v>935</v>
      </c>
      <c r="B972" s="7">
        <v>0.77096381548869886</v>
      </c>
      <c r="C972" s="28">
        <v>6559.0396506257875</v>
      </c>
      <c r="D972" s="28">
        <v>8507.5842975433825</v>
      </c>
    </row>
    <row r="973" spans="1:4" x14ac:dyDescent="0.2">
      <c r="A973">
        <v>936</v>
      </c>
      <c r="B973" s="7">
        <v>0.7307830135408766</v>
      </c>
      <c r="C973" s="28">
        <v>7402.3322748982027</v>
      </c>
      <c r="D973" s="28">
        <v>10129.316278208964</v>
      </c>
    </row>
    <row r="974" spans="1:4" x14ac:dyDescent="0.2">
      <c r="A974">
        <v>937</v>
      </c>
      <c r="B974" s="7">
        <v>1.1524450624791065</v>
      </c>
      <c r="C974" s="28">
        <v>8616.5561154141033</v>
      </c>
      <c r="D974" s="28">
        <v>7476.7608417518986</v>
      </c>
    </row>
    <row r="975" spans="1:4" x14ac:dyDescent="0.2">
      <c r="A975">
        <v>938</v>
      </c>
      <c r="B975" s="7">
        <v>0.95150876504649684</v>
      </c>
      <c r="C975" s="28">
        <v>5690.6072924084001</v>
      </c>
      <c r="D975" s="28">
        <v>5980.6146842276548</v>
      </c>
    </row>
    <row r="976" spans="1:4" x14ac:dyDescent="0.2">
      <c r="A976">
        <v>939</v>
      </c>
      <c r="B976" s="7">
        <v>0.79502124747027558</v>
      </c>
      <c r="C976" s="28">
        <v>6949.9497253618847</v>
      </c>
      <c r="D976" s="28">
        <v>8741.841488483904</v>
      </c>
    </row>
    <row r="977" spans="1:4" x14ac:dyDescent="0.2">
      <c r="A977">
        <v>940</v>
      </c>
      <c r="B977" s="7">
        <v>0.56797114241879676</v>
      </c>
      <c r="C977" s="28">
        <v>5146.9774110952694</v>
      </c>
      <c r="D977" s="28">
        <v>9062.0403515151065</v>
      </c>
    </row>
    <row r="978" spans="1:4" x14ac:dyDescent="0.2">
      <c r="A978">
        <v>941</v>
      </c>
      <c r="B978" s="7">
        <v>0.86915878053145779</v>
      </c>
      <c r="C978" s="28">
        <v>6840.705310769572</v>
      </c>
      <c r="D978" s="28">
        <v>7870.489793115521</v>
      </c>
    </row>
    <row r="979" spans="1:4" x14ac:dyDescent="0.2">
      <c r="A979">
        <v>942</v>
      </c>
      <c r="B979" s="7">
        <v>0.65588303975860107</v>
      </c>
      <c r="C979" s="28">
        <v>7963.6937669420831</v>
      </c>
      <c r="D979" s="28">
        <v>12141.941907619894</v>
      </c>
    </row>
    <row r="980" spans="1:4" x14ac:dyDescent="0.2">
      <c r="A980">
        <v>943</v>
      </c>
      <c r="B980" s="7">
        <v>1.0891613171919348</v>
      </c>
      <c r="C980" s="28">
        <v>5705.1428862359062</v>
      </c>
      <c r="D980" s="28">
        <v>5238.1064183814851</v>
      </c>
    </row>
    <row r="981" spans="1:4" x14ac:dyDescent="0.2">
      <c r="A981">
        <v>944</v>
      </c>
      <c r="B981" s="7">
        <v>1.033645422714808</v>
      </c>
      <c r="C981" s="28">
        <v>6427.2094617976163</v>
      </c>
      <c r="D981" s="28">
        <v>6218.0021509861035</v>
      </c>
    </row>
    <row r="982" spans="1:4" x14ac:dyDescent="0.2">
      <c r="A982">
        <v>945</v>
      </c>
      <c r="B982" s="7">
        <v>0.73240248033164868</v>
      </c>
      <c r="C982" s="28">
        <v>6145.3905542910579</v>
      </c>
      <c r="D982" s="28">
        <v>8390.7287581935598</v>
      </c>
    </row>
    <row r="983" spans="1:4" x14ac:dyDescent="0.2">
      <c r="A983">
        <v>946</v>
      </c>
      <c r="B983" s="7">
        <v>0.87414142821409069</v>
      </c>
      <c r="C983" s="28">
        <v>9813.0406905791206</v>
      </c>
      <c r="D983" s="28">
        <v>11225.918797405122</v>
      </c>
    </row>
    <row r="984" spans="1:4" x14ac:dyDescent="0.2">
      <c r="A984">
        <v>947</v>
      </c>
      <c r="B984" s="7">
        <v>0.75637519901075301</v>
      </c>
      <c r="C984" s="28">
        <v>6968.1689743098286</v>
      </c>
      <c r="D984" s="28">
        <v>9212.5825693694715</v>
      </c>
    </row>
    <row r="985" spans="1:4" x14ac:dyDescent="0.2">
      <c r="A985">
        <v>948</v>
      </c>
      <c r="B985" s="7">
        <v>0.92388739174710643</v>
      </c>
      <c r="C985" s="28">
        <v>6025.9449122451369</v>
      </c>
      <c r="D985" s="28">
        <v>6522.3802879805999</v>
      </c>
    </row>
    <row r="986" spans="1:4" x14ac:dyDescent="0.2">
      <c r="A986">
        <v>949</v>
      </c>
      <c r="B986" s="7">
        <v>0.67055936665991567</v>
      </c>
      <c r="C986" s="28">
        <v>7582.245067748996</v>
      </c>
      <c r="D986" s="28">
        <v>11307.343457920029</v>
      </c>
    </row>
    <row r="987" spans="1:4" x14ac:dyDescent="0.2">
      <c r="A987">
        <v>950</v>
      </c>
      <c r="B987" s="7">
        <v>0.81736699225134313</v>
      </c>
      <c r="C987" s="28">
        <v>7726.7912935568856</v>
      </c>
      <c r="D987" s="28">
        <v>9453.2705220629596</v>
      </c>
    </row>
    <row r="988" spans="1:4" x14ac:dyDescent="0.2">
      <c r="A988">
        <v>951</v>
      </c>
      <c r="B988" s="35">
        <v>0.92436979839241307</v>
      </c>
      <c r="C988" s="36">
        <v>6325.9496024803284</v>
      </c>
      <c r="D988" s="36">
        <v>6843.5269234043481</v>
      </c>
    </row>
    <row r="989" spans="1:4" x14ac:dyDescent="0.2">
      <c r="A989">
        <v>952</v>
      </c>
      <c r="B989" s="7">
        <v>0.91749695384069163</v>
      </c>
      <c r="C989" s="28">
        <v>7123.5304390356296</v>
      </c>
      <c r="D989" s="28">
        <v>7764.0916508944774</v>
      </c>
    </row>
    <row r="990" spans="1:4" x14ac:dyDescent="0.2">
      <c r="A990">
        <v>953</v>
      </c>
      <c r="B990" s="7">
        <v>0.63373013936731581</v>
      </c>
      <c r="C990" s="28">
        <v>6505.4539914964844</v>
      </c>
      <c r="D990" s="28">
        <v>10265.337858147635</v>
      </c>
    </row>
    <row r="991" spans="1:4" x14ac:dyDescent="0.2">
      <c r="A991">
        <v>954</v>
      </c>
      <c r="B991" s="7">
        <v>0.81134365794226859</v>
      </c>
      <c r="C991" s="28">
        <v>8389.5180131156321</v>
      </c>
      <c r="D991" s="28">
        <v>10340.276812409114</v>
      </c>
    </row>
    <row r="992" spans="1:4" x14ac:dyDescent="0.2">
      <c r="A992">
        <v>955</v>
      </c>
      <c r="B992" s="7">
        <v>0.92616616807371166</v>
      </c>
      <c r="C992" s="28">
        <v>6399.2227612716979</v>
      </c>
      <c r="D992" s="28">
        <v>6909.367867087105</v>
      </c>
    </row>
    <row r="993" spans="1:4" x14ac:dyDescent="0.2">
      <c r="A993">
        <v>956</v>
      </c>
      <c r="B993" s="7">
        <v>0.91979958029800368</v>
      </c>
      <c r="C993" s="28">
        <v>5752.4293691030216</v>
      </c>
      <c r="D993" s="28">
        <v>6254.0030375305296</v>
      </c>
    </row>
    <row r="994" spans="1:4" x14ac:dyDescent="0.2">
      <c r="A994">
        <v>957</v>
      </c>
      <c r="B994" s="7">
        <v>0.97797971284182061</v>
      </c>
      <c r="C994" s="28">
        <v>6995.8330909952138</v>
      </c>
      <c r="D994" s="28">
        <v>7153.3519551920672</v>
      </c>
    </row>
    <row r="995" spans="1:4" x14ac:dyDescent="0.2">
      <c r="A995">
        <v>958</v>
      </c>
      <c r="B995" s="7">
        <v>0.79809330571195858</v>
      </c>
      <c r="C995" s="28">
        <v>5567.7894813620715</v>
      </c>
      <c r="D995" s="28">
        <v>6976.3640936634456</v>
      </c>
    </row>
    <row r="996" spans="1:4" x14ac:dyDescent="0.2">
      <c r="A996">
        <v>959</v>
      </c>
      <c r="B996" s="7">
        <v>0.74628053922498694</v>
      </c>
      <c r="C996" s="28">
        <v>6704.5230791626764</v>
      </c>
      <c r="D996" s="28">
        <v>8983.9178790932019</v>
      </c>
    </row>
    <row r="997" spans="1:4" x14ac:dyDescent="0.2">
      <c r="A997">
        <v>960</v>
      </c>
      <c r="B997" s="7">
        <v>0.84012146285158185</v>
      </c>
      <c r="C997" s="28">
        <v>6629.2862714845996</v>
      </c>
      <c r="D997" s="28">
        <v>7890.8664575514449</v>
      </c>
    </row>
    <row r="998" spans="1:4" x14ac:dyDescent="0.2">
      <c r="A998">
        <v>961</v>
      </c>
      <c r="B998" s="7">
        <v>1.049348385742813</v>
      </c>
      <c r="C998" s="28">
        <v>6525.5395417125137</v>
      </c>
      <c r="D998" s="28">
        <v>6218.6587699310303</v>
      </c>
    </row>
    <row r="999" spans="1:4" x14ac:dyDescent="0.2">
      <c r="A999">
        <v>962</v>
      </c>
      <c r="B999" s="7">
        <v>0.88913500365845621</v>
      </c>
      <c r="C999" s="28">
        <v>5964.1439246885639</v>
      </c>
      <c r="D999" s="28">
        <v>6707.8046642504842</v>
      </c>
    </row>
    <row r="1000" spans="1:4" x14ac:dyDescent="0.2">
      <c r="A1000">
        <v>963</v>
      </c>
      <c r="B1000" s="7">
        <v>0.89671510832951462</v>
      </c>
      <c r="C1000" s="28">
        <v>6701.667084605313</v>
      </c>
      <c r="D1000" s="28">
        <v>7473.5744076954497</v>
      </c>
    </row>
    <row r="1001" spans="1:4" x14ac:dyDescent="0.2">
      <c r="A1001">
        <v>964</v>
      </c>
      <c r="B1001" s="7">
        <v>0.75391007958231526</v>
      </c>
      <c r="C1001" s="28">
        <v>7596.7782974384572</v>
      </c>
      <c r="D1001" s="28">
        <v>10076.504483992652</v>
      </c>
    </row>
    <row r="1002" spans="1:4" x14ac:dyDescent="0.2">
      <c r="A1002">
        <v>965</v>
      </c>
      <c r="B1002" s="7">
        <v>0.63087380781362512</v>
      </c>
      <c r="C1002" s="28">
        <v>6035.6377218741945</v>
      </c>
      <c r="D1002" s="28">
        <v>9567.1077910041604</v>
      </c>
    </row>
    <row r="1003" spans="1:4" x14ac:dyDescent="0.2">
      <c r="A1003">
        <v>966</v>
      </c>
      <c r="B1003" s="7">
        <v>0.5592289062568927</v>
      </c>
      <c r="C1003" s="29">
        <v>7568.6232054998736</v>
      </c>
      <c r="D1003" s="28">
        <v>13534.034311922851</v>
      </c>
    </row>
    <row r="1004" spans="1:4" x14ac:dyDescent="0.2">
      <c r="A1004">
        <v>967</v>
      </c>
      <c r="B1004" s="7">
        <v>0.92699216638308002</v>
      </c>
      <c r="C1004" s="28">
        <v>7472.5621885486798</v>
      </c>
      <c r="D1004" s="28">
        <v>8061.0845048507554</v>
      </c>
    </row>
    <row r="1005" spans="1:4" x14ac:dyDescent="0.2">
      <c r="A1005">
        <v>968</v>
      </c>
      <c r="B1005" s="7">
        <v>0.82751749948664699</v>
      </c>
      <c r="C1005" s="28">
        <v>5144.3851282080504</v>
      </c>
      <c r="D1005" s="28">
        <v>6216.6481450838028</v>
      </c>
    </row>
    <row r="1006" spans="1:4" x14ac:dyDescent="0.2">
      <c r="A1006">
        <v>969</v>
      </c>
      <c r="B1006" s="7">
        <v>0.94665974896179961</v>
      </c>
      <c r="C1006" s="28">
        <v>5101.3101765984829</v>
      </c>
      <c r="D1006" s="28">
        <v>5388.7473109457569</v>
      </c>
    </row>
    <row r="1007" spans="1:4" x14ac:dyDescent="0.2">
      <c r="A1007">
        <v>970</v>
      </c>
      <c r="B1007" s="7">
        <v>0.64090181456562156</v>
      </c>
      <c r="C1007" s="28">
        <v>7243.3394228589596</v>
      </c>
      <c r="D1007" s="28">
        <v>11301.792658783803</v>
      </c>
    </row>
    <row r="1008" spans="1:4" x14ac:dyDescent="0.2">
      <c r="A1008">
        <v>971</v>
      </c>
      <c r="B1008" s="7">
        <v>0.82114651672042704</v>
      </c>
      <c r="C1008" s="28">
        <v>8300.5990787426344</v>
      </c>
      <c r="D1008" s="28">
        <v>10108.548121100672</v>
      </c>
    </row>
    <row r="1009" spans="1:4" x14ac:dyDescent="0.2">
      <c r="A1009">
        <v>972</v>
      </c>
      <c r="B1009" s="7">
        <v>0.77165816490482531</v>
      </c>
      <c r="C1009" s="28">
        <v>5331.6540214177439</v>
      </c>
      <c r="D1009" s="28">
        <v>6909.3469931408536</v>
      </c>
    </row>
    <row r="1010" spans="1:4" x14ac:dyDescent="0.2">
      <c r="A1010">
        <v>973</v>
      </c>
      <c r="B1010" s="7">
        <v>0.80262489194855391</v>
      </c>
      <c r="C1010" s="28">
        <v>6387.5087243219714</v>
      </c>
      <c r="D1010" s="28">
        <v>7958.2738940663121</v>
      </c>
    </row>
    <row r="1011" spans="1:4" x14ac:dyDescent="0.2">
      <c r="A1011">
        <v>974</v>
      </c>
      <c r="B1011" s="7">
        <v>0.72269059725987361</v>
      </c>
      <c r="C1011" s="28">
        <v>5897.126902584143</v>
      </c>
      <c r="D1011" s="28">
        <v>8159.9607424580681</v>
      </c>
    </row>
    <row r="1012" spans="1:4" x14ac:dyDescent="0.2">
      <c r="A1012">
        <v>975</v>
      </c>
      <c r="B1012">
        <v>0.96230209313802817</v>
      </c>
      <c r="C1012">
        <v>8821.3154011793122</v>
      </c>
      <c r="D1012">
        <v>9166.8878869559139</v>
      </c>
    </row>
    <row r="1013" spans="1:4" x14ac:dyDescent="0.2">
      <c r="A1013">
        <v>976</v>
      </c>
      <c r="B1013" s="7">
        <v>0.60460928115381751</v>
      </c>
      <c r="C1013" s="28">
        <v>8005.1380402744053</v>
      </c>
      <c r="D1013" s="28">
        <v>13240.183850631021</v>
      </c>
    </row>
    <row r="1014" spans="1:4" x14ac:dyDescent="0.2">
      <c r="A1014">
        <v>977</v>
      </c>
      <c r="B1014" s="7">
        <v>0.7911194510413484</v>
      </c>
      <c r="C1014" s="28">
        <v>6398.8257725680614</v>
      </c>
      <c r="D1014" s="28">
        <v>8088.3180967745193</v>
      </c>
    </row>
    <row r="1015" spans="1:4" x14ac:dyDescent="0.2">
      <c r="A1015">
        <v>978</v>
      </c>
      <c r="B1015" s="7">
        <v>0.57921687767821517</v>
      </c>
      <c r="C1015" s="28">
        <v>6270.4334109916526</v>
      </c>
      <c r="D1015" s="28">
        <v>10825.70907831039</v>
      </c>
    </row>
    <row r="1016" spans="1:4" x14ac:dyDescent="0.2">
      <c r="A1016">
        <v>979</v>
      </c>
      <c r="B1016" s="7">
        <v>0.76520885714662512</v>
      </c>
      <c r="C1016" s="28">
        <v>7841.9884039013832</v>
      </c>
      <c r="D1016" s="28">
        <v>10248.167321459459</v>
      </c>
    </row>
    <row r="1017" spans="1:4" x14ac:dyDescent="0.2">
      <c r="A1017">
        <v>980</v>
      </c>
      <c r="B1017" s="7">
        <v>0.76466050520334505</v>
      </c>
      <c r="C1017" s="29">
        <v>8163.0638167072902</v>
      </c>
      <c r="D1017" s="28">
        <v>10675.409232148715</v>
      </c>
    </row>
    <row r="1018" spans="1:4" x14ac:dyDescent="0.2">
      <c r="A1018">
        <v>981</v>
      </c>
      <c r="B1018" s="7">
        <v>0.93585951888956664</v>
      </c>
      <c r="C1018" s="28">
        <v>6476.9107156794726</v>
      </c>
      <c r="D1018" s="28">
        <v>6920.8151276428498</v>
      </c>
    </row>
    <row r="1019" spans="1:4" x14ac:dyDescent="0.2">
      <c r="A1019">
        <v>982</v>
      </c>
      <c r="B1019" s="7">
        <v>0.56944031415194907</v>
      </c>
      <c r="C1019" s="28">
        <v>7580.7957404147</v>
      </c>
      <c r="D1019" s="28">
        <v>13312.713469724318</v>
      </c>
    </row>
    <row r="1020" spans="1:4" x14ac:dyDescent="0.2">
      <c r="A1020">
        <v>983</v>
      </c>
      <c r="B1020" s="7">
        <v>0.63717377262397434</v>
      </c>
      <c r="C1020" s="28">
        <v>5551.4097686701189</v>
      </c>
      <c r="D1020" s="28">
        <v>8712.5522223060216</v>
      </c>
    </row>
    <row r="1021" spans="1:4" x14ac:dyDescent="0.2">
      <c r="A1021">
        <v>984</v>
      </c>
      <c r="B1021" s="7">
        <v>0.76529195765313496</v>
      </c>
      <c r="C1021" s="28">
        <v>6068.2868877059336</v>
      </c>
      <c r="D1021" s="28">
        <v>7929.3749620930375</v>
      </c>
    </row>
    <row r="1022" spans="1:4" x14ac:dyDescent="0.2">
      <c r="A1022">
        <v>985</v>
      </c>
      <c r="B1022" s="7">
        <v>0.84226391024361469</v>
      </c>
      <c r="C1022" s="28">
        <v>6793.2939633094156</v>
      </c>
      <c r="D1022" s="28">
        <v>8065.5170911270998</v>
      </c>
    </row>
    <row r="1023" spans="1:4" x14ac:dyDescent="0.2">
      <c r="A1023">
        <v>986</v>
      </c>
      <c r="B1023" s="7">
        <v>0.8336795509910333</v>
      </c>
      <c r="C1023" s="28">
        <v>7570.0383203633955</v>
      </c>
      <c r="D1023" s="28">
        <v>9080.2734832161132</v>
      </c>
    </row>
    <row r="1024" spans="1:4" x14ac:dyDescent="0.2">
      <c r="A1024">
        <v>987</v>
      </c>
      <c r="B1024" s="7">
        <v>0.6625132348164513</v>
      </c>
      <c r="C1024" s="28">
        <v>6801.668059510228</v>
      </c>
      <c r="D1024" s="28">
        <v>10266.463675091147</v>
      </c>
    </row>
    <row r="1025" spans="1:4" x14ac:dyDescent="0.2">
      <c r="A1025">
        <v>988</v>
      </c>
      <c r="B1025" s="7">
        <v>0.74030387365070016</v>
      </c>
      <c r="C1025" s="28">
        <v>6563.0595824749726</v>
      </c>
      <c r="D1025" s="28">
        <v>8865.3589641645467</v>
      </c>
    </row>
    <row r="1026" spans="1:4" x14ac:dyDescent="0.2">
      <c r="A1026">
        <v>989</v>
      </c>
      <c r="B1026" s="7">
        <v>1.0124438788822143</v>
      </c>
      <c r="C1026" s="28">
        <v>4865.9423733670665</v>
      </c>
      <c r="D1026" s="28">
        <v>4806.1354064773404</v>
      </c>
    </row>
    <row r="1027" spans="1:4" x14ac:dyDescent="0.2">
      <c r="A1027">
        <v>990</v>
      </c>
      <c r="B1027" s="7">
        <v>0.80844286622420469</v>
      </c>
      <c r="C1027" s="28">
        <v>6496.0262082463923</v>
      </c>
      <c r="D1027" s="28">
        <v>8035.2322713734675</v>
      </c>
    </row>
    <row r="1028" spans="1:4" x14ac:dyDescent="0.2">
      <c r="A1028">
        <v>991</v>
      </c>
      <c r="B1028" s="7">
        <v>0.98333924978065923</v>
      </c>
      <c r="C1028" s="28">
        <v>7317.2341792733878</v>
      </c>
      <c r="D1028" s="28">
        <v>7441.2103258418174</v>
      </c>
    </row>
    <row r="1029" spans="1:4" x14ac:dyDescent="0.2">
      <c r="A1029">
        <v>992</v>
      </c>
      <c r="B1029" s="35">
        <v>0.96599785863605003</v>
      </c>
      <c r="C1029" s="36">
        <v>6168.6296441104332</v>
      </c>
      <c r="D1029" s="36">
        <v>6385.7591287213509</v>
      </c>
    </row>
    <row r="1030" spans="1:4" x14ac:dyDescent="0.2">
      <c r="A1030">
        <v>993</v>
      </c>
      <c r="B1030" s="7">
        <v>0.87910694149468771</v>
      </c>
      <c r="C1030" s="29">
        <v>5632.8648767572959</v>
      </c>
      <c r="D1030" s="28">
        <v>6407.4853819037153</v>
      </c>
    </row>
    <row r="1031" spans="1:4" x14ac:dyDescent="0.2">
      <c r="A1031">
        <v>994</v>
      </c>
      <c r="B1031" s="7">
        <v>0.7843095587951634</v>
      </c>
      <c r="C1031" s="28">
        <v>8188.8627254444309</v>
      </c>
      <c r="D1031" s="28">
        <v>10440.855442363798</v>
      </c>
    </row>
    <row r="1032" spans="1:4" x14ac:dyDescent="0.2">
      <c r="A1032">
        <v>995</v>
      </c>
      <c r="B1032" s="7">
        <v>0.69168299392804578</v>
      </c>
      <c r="C1032" s="28">
        <v>4848.6815635507337</v>
      </c>
      <c r="D1032" s="28">
        <v>7009.9765443346014</v>
      </c>
    </row>
    <row r="1033" spans="1:4" x14ac:dyDescent="0.2">
      <c r="A1033">
        <v>996</v>
      </c>
      <c r="B1033" s="7">
        <v>0.76063617709380082</v>
      </c>
      <c r="C1033" s="28">
        <v>7285.6530543136378</v>
      </c>
      <c r="D1033" s="28">
        <v>9578.367784385804</v>
      </c>
    </row>
    <row r="1034" spans="1:4" x14ac:dyDescent="0.2">
      <c r="A1034">
        <v>997</v>
      </c>
      <c r="B1034" s="7">
        <v>0.84188280337831589</v>
      </c>
      <c r="C1034" s="28">
        <v>8669.3028247442126</v>
      </c>
      <c r="D1034" s="28">
        <v>10297.517409734402</v>
      </c>
    </row>
    <row r="1035" spans="1:4" x14ac:dyDescent="0.2">
      <c r="A1035">
        <v>998</v>
      </c>
      <c r="B1035" s="7">
        <v>1.054214707455051</v>
      </c>
      <c r="C1035" s="28">
        <v>6039.9905164007314</v>
      </c>
      <c r="D1035" s="28">
        <v>5729.3741717773</v>
      </c>
    </row>
    <row r="1036" spans="1:4" x14ac:dyDescent="0.2">
      <c r="A1036">
        <v>999</v>
      </c>
      <c r="B1036" s="7">
        <v>0.84045724145123035</v>
      </c>
      <c r="C1036" s="28">
        <v>7050.4478236986533</v>
      </c>
      <c r="D1036" s="28">
        <v>8388.8239353194658</v>
      </c>
    </row>
    <row r="1037" spans="1:4" x14ac:dyDescent="0.2">
      <c r="A1037">
        <v>1000</v>
      </c>
      <c r="B1037" s="7">
        <v>1.0824933155423899</v>
      </c>
      <c r="C1037" s="28">
        <v>7917.5998291197429</v>
      </c>
      <c r="D1037" s="28">
        <v>7314.2251461872365</v>
      </c>
    </row>
  </sheetData>
  <scenarios current="19" show="4" sqref="B33 C33 B35">
    <scenario name="cAsympLow" locked="1" count="1" user="Andrew Briggs" comment="Created by Andrew Briggs on 05/03/98_x000a_Modified by Andrew Briggs on 05/03/98">
      <inputCells r="B5" val="250"/>
    </scenario>
    <scenario name="cAsympHigh" locked="1" count="1" user="Andrew Briggs" comment="Created by Andrew Briggs on 05/03/98">
      <inputCells r="B5" val="750"/>
    </scenario>
    <scenario name="cDeathLow" locked="1" count="1" user="Andrew Briggs" comment="Created by Andrew Briggs on 05/03/98_x000a_Modified by Andrew Briggs on 05/03/98">
      <inputCells r="B6" val="500"/>
    </scenario>
    <scenario name="cDeathHigh" locked="1" count="1" user="Andrew Briggs" comment="Created by Andrew Briggs on 05/03/98">
      <inputCells r="B6" val="1500"/>
    </scenario>
    <scenario name="cDrugLow" locked="1" count="1" user="Andrew Briggs" comment="Created by Andrew Briggs on 05/03/98_x000a_Modified by Andrew Briggs on 05/03/98">
      <inputCells r="B7" val="800"/>
    </scenario>
    <scenario name="cDrugHigh" locked="1" count="1" user="Andrew Briggs" comment="Created by Andrew Briggs on 05/03/98_x000a_Modified by Andrew Briggs on 05/03/98">
      <inputCells r="B7" val="1200"/>
    </scenario>
    <scenario name="cmDeathLow" locked="1" count="1" user="Andrew Briggs" comment="Created by Andrew Briggs on 05/03/98">
      <inputCells r="B8" val="0.1"/>
    </scenario>
    <scenario name="cmDeathHigh" locked="1" count="1" user="Andrew Briggs" comment="Created by Andrew Briggs on 05/03/98">
      <inputCells r="B8" val="0.2"/>
    </scenario>
    <scenario name="cProgLow" locked="1" count="1" user="Andrew Briggs" comment="Created by Andrew Briggs on 05/03/98">
      <inputCells r="B9" val="2000"/>
    </scenario>
    <scenario name="cProgHigh" locked="1" count="1" user="Andrew Briggs" comment="Created by Andrew Briggs on 05/03/98">
      <inputCells r="B9" val="4000"/>
    </scenario>
    <scenario name="effLow" locked="1" count="1" user="Andrew Briggs" comment="Created by Andrew Briggs on 05/03/98">
      <inputCells r="B10" val="0.4" numFmtId="9"/>
    </scenario>
    <scenario name="effHigh" locked="1" count="1" user="Andrew Briggs" comment="Created by Andrew Briggs on 05/03/98">
      <inputCells r="B10" val="0.6" numFmtId="9"/>
    </scenario>
    <scenario name="progLow" locked="1" count="1" user="Andrew Briggs" comment="Created by Andrew Briggs on 05/03/98">
      <inputCells r="B11" val="0.005"/>
    </scenario>
    <scenario name="progHigh" locked="1" count="1" user="Andrew Briggs" comment="Created by Andrew Briggs on 05/03/98">
      <inputCells r="B11" val="0.015"/>
    </scenario>
    <scenario name="uAsympLow" locked="1" count="1" user="Andrew Briggs" comment="Created by Andrew Briggs on 05/03/98_x000a_Modified by Andrew Briggs on 05/03/98">
      <inputCells r="B12" val="0.9"/>
    </scenario>
    <scenario name="uAsympHigh" locked="1" count="1" user="Andrew Briggs" comment="Created by Andrew Briggs on 05/03/98">
      <inputCells r="B12" val="1"/>
    </scenario>
    <scenario name="uProgLow" locked="1" count="1" user="Andrew Briggs" comment="Created by Andrew Briggs on 05/03/98">
      <inputCells r="B13" val="0.6"/>
    </scenario>
    <scenario name="uProgHigh" locked="1" count="1" user="Andrew Briggs" comment="Created by Andrew Briggs on 05/03/98">
      <inputCells r="B13" val="0.9"/>
    </scenario>
    <scenario name="worst-case" locked="1" count="9" user="Andrew Briggs" comment="Created by Andrew Briggs on 05/03/98">
      <inputCells r="B5" val="750"/>
      <inputCells r="B6" val="500"/>
      <inputCells r="B7" val="1200"/>
      <inputCells r="B8" val="0.1"/>
      <inputCells r="B9" val="2000"/>
      <inputCells r="B10" val="0.4" numFmtId="9"/>
      <inputCells r="B11" val="0.005"/>
      <inputCells r="B12" val="0.9"/>
      <inputCells r="B13" val="0.9"/>
    </scenario>
    <scenario name="best-case" locked="1" count="9" user="Andrew Briggs" comment="Created by Andrew Briggs on 05/03/98">
      <inputCells r="B5" val="250"/>
      <inputCells r="B6" val="1500"/>
      <inputCells r="B7" val="800"/>
      <inputCells r="B8" val="0.2"/>
      <inputCells r="B9" val="4000"/>
      <inputCells r="B10" val="0.6" numFmtId="9"/>
      <inputCells r="B11" val="0.015"/>
      <inputCells r="B12" val="1"/>
      <inputCells r="B13" val="0.6"/>
    </scenario>
  </scenarios>
  <phoneticPr fontId="0" type="noConversion"/>
  <pageMargins left="0.75" right="0.75" top="1" bottom="1" header="0.5" footer="0.5"/>
  <pageSetup scale="10" orientation="landscape" r:id="rId1"/>
  <headerFooter alignWithMargins="0"/>
  <rowBreaks count="1" manualBreakCount="1">
    <brk id="42" max="16383" man="1"/>
  </rowBreaks>
  <colBreaks count="1" manualBreakCount="1">
    <brk id="1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obabilisticSA">
                <anchor moveWithCells="1" sizeWithCells="1">
                  <from>
                    <xdr:col>4</xdr:col>
                    <xdr:colOff>323850</xdr:colOff>
                    <xdr:row>0</xdr:row>
                    <xdr:rowOff>190500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F90"/>
  <sheetViews>
    <sheetView tabSelected="1" topLeftCell="A34" workbookViewId="0">
      <selection activeCell="K58" sqref="K58"/>
    </sheetView>
  </sheetViews>
  <sheetFormatPr defaultRowHeight="12.75" x14ac:dyDescent="0.2"/>
  <cols>
    <col min="2" max="2" width="8.7109375" bestFit="1" customWidth="1"/>
    <col min="3" max="3" width="10.42578125" bestFit="1" customWidth="1"/>
    <col min="4" max="4" width="4.28515625" customWidth="1"/>
    <col min="8" max="8" width="4.85546875" customWidth="1"/>
    <col min="13" max="13" width="4.7109375" customWidth="1"/>
    <col min="19" max="19" width="4.42578125" customWidth="1"/>
    <col min="20" max="20" width="4.7109375" customWidth="1"/>
    <col min="24" max="24" width="4.5703125" customWidth="1"/>
  </cols>
  <sheetData>
    <row r="1" spans="1:32" s="2" customFormat="1" ht="15.75" x14ac:dyDescent="0.25">
      <c r="A1" s="2" t="s">
        <v>99</v>
      </c>
      <c r="I1"/>
      <c r="J1"/>
      <c r="K1"/>
      <c r="L1"/>
      <c r="M1"/>
    </row>
    <row r="4" spans="1:32" x14ac:dyDescent="0.2">
      <c r="A4" t="s">
        <v>33</v>
      </c>
      <c r="C4" t="s">
        <v>37</v>
      </c>
      <c r="E4" t="s">
        <v>36</v>
      </c>
      <c r="F4" t="s">
        <v>34</v>
      </c>
      <c r="G4" t="s">
        <v>35</v>
      </c>
      <c r="I4" t="s">
        <v>44</v>
      </c>
      <c r="J4" t="s">
        <v>47</v>
      </c>
      <c r="K4" t="s">
        <v>46</v>
      </c>
      <c r="L4" t="s">
        <v>45</v>
      </c>
      <c r="N4" t="s">
        <v>48</v>
      </c>
      <c r="Q4" t="s">
        <v>49</v>
      </c>
      <c r="R4" t="s">
        <v>50</v>
      </c>
      <c r="U4" t="s">
        <v>36</v>
      </c>
      <c r="V4" t="s">
        <v>34</v>
      </c>
      <c r="W4" t="s">
        <v>35</v>
      </c>
      <c r="Y4" t="s">
        <v>44</v>
      </c>
      <c r="Z4" t="s">
        <v>47</v>
      </c>
      <c r="AA4" t="s">
        <v>46</v>
      </c>
      <c r="AB4" t="s">
        <v>45</v>
      </c>
      <c r="AD4" t="s">
        <v>48</v>
      </c>
      <c r="AE4" t="s">
        <v>49</v>
      </c>
      <c r="AF4" t="s">
        <v>50</v>
      </c>
    </row>
    <row r="5" spans="1:32" x14ac:dyDescent="0.2">
      <c r="A5">
        <v>0</v>
      </c>
      <c r="C5">
        <f>IF(ini_age+A5&lt;35,"error",IF(ini_age+A5&gt;=85,_nD85,IF(ini_age+A5&gt;=75,_nD75,IF(ini_age+A5&gt;=65,_nD65,IF(ini_age+A5&gt;=55,_nD55, IF(ini_age+A5&gt;=45, _nD45, _nD35))))))</f>
        <v>1.38E-2</v>
      </c>
      <c r="E5" s="6">
        <v>1000</v>
      </c>
      <c r="F5" s="6">
        <v>0</v>
      </c>
      <c r="G5" s="6">
        <v>0</v>
      </c>
      <c r="I5" s="6"/>
      <c r="J5" s="6"/>
      <c r="U5" s="6">
        <v>1000</v>
      </c>
      <c r="V5" s="6">
        <v>0</v>
      </c>
      <c r="W5" s="6">
        <v>0</v>
      </c>
      <c r="Y5" s="6"/>
      <c r="Z5" s="6"/>
    </row>
    <row r="6" spans="1:32" x14ac:dyDescent="0.2">
      <c r="A6">
        <v>1</v>
      </c>
      <c r="C6">
        <f t="shared" ref="C6:C50" si="0">IF(ini_age+A6&lt;35,"error",IF(ini_age+A6&gt;=85,_nD85,IF(ini_age+A6&gt;=75,_nD75,IF(ini_age+A6&gt;=65,_nD65,IF(ini_age+A6&gt;=55,_nD55, IF(ini_age+A6&gt;=45, _nD45, _nD35))))))</f>
        <v>1.38E-2</v>
      </c>
      <c r="E6" s="6">
        <f>$E$5-F6-G6</f>
        <v>976.2</v>
      </c>
      <c r="F6" s="6">
        <f>F5*(1-tpDcm-$C5)+E5*tpProg*$A6</f>
        <v>10</v>
      </c>
      <c r="G6" s="6">
        <f>G5+F5*tpDcm+(E5+F5)*$C5</f>
        <v>13.799999999999999</v>
      </c>
      <c r="I6" s="6">
        <f>E6+F6</f>
        <v>986.2</v>
      </c>
      <c r="J6" s="6">
        <f t="shared" ref="J6:J50" si="1">E6*uAsymp+F6*uProg</f>
        <v>934.89</v>
      </c>
      <c r="K6" s="6">
        <f>(E6+F6)/((1+oDR)^$A6)</f>
        <v>930.37735849056605</v>
      </c>
      <c r="L6" s="6">
        <f>(E6*uAsymp+F6*uProg)/((1+oDR)^$A6)</f>
        <v>881.97169811320748</v>
      </c>
      <c r="N6" s="6">
        <f>(E6*cAsymp+'Markov Model'!F6*cProg)/((1+cDR)^$A6)</f>
        <v>488773.58490566036</v>
      </c>
      <c r="O6" s="31">
        <f>F5*tpDcm</f>
        <v>0</v>
      </c>
      <c r="P6" s="6">
        <f>F5*tpDcm*cDeath</f>
        <v>0</v>
      </c>
      <c r="Q6">
        <f>(F5*tpDcm*cDeath)/((1+cDR)^$A5)</f>
        <v>0</v>
      </c>
      <c r="R6" s="6">
        <f t="shared" ref="R6:R50" si="2">N6+Q6</f>
        <v>488773.58490566036</v>
      </c>
      <c r="U6" s="6">
        <f>$E$5-V6-W6</f>
        <v>981.2</v>
      </c>
      <c r="V6" s="6">
        <f>V5*(1-tpDcm-$C5)+U5*tpProg*(1-effect)*$A6</f>
        <v>5</v>
      </c>
      <c r="W6" s="6">
        <f>W5+V5*tpDcm+(U5+V5)*$C5</f>
        <v>13.799999999999999</v>
      </c>
      <c r="Y6" s="6">
        <f t="shared" ref="Y6:Y50" si="3">U6+V6</f>
        <v>986.2</v>
      </c>
      <c r="Z6" s="6">
        <f t="shared" ref="Z6:Z50" si="4">U6*uAsymp+V6*uProg</f>
        <v>935.89</v>
      </c>
      <c r="AA6" s="6">
        <f t="shared" ref="AA6:AA50" si="5">(U6+V6)/((1+oDR)^$A6)</f>
        <v>930.37735849056605</v>
      </c>
      <c r="AB6" s="6">
        <f t="shared" ref="AB6:AB50" si="6">(U6*uAsymp+V6*uProg)/((1+oDR)^$A6)</f>
        <v>882.91509433962256</v>
      </c>
      <c r="AD6" s="6">
        <f>(U6*(cAsymp+cDrug)+'Markov Model'!V6*cProg)/((1+cDR)^$A6)</f>
        <v>1402641.5094339622</v>
      </c>
      <c r="AE6">
        <f>(V5*tpDcm*cDeath)/((1+cDR)^$A5)</f>
        <v>0</v>
      </c>
      <c r="AF6" s="6">
        <f t="shared" ref="AF6:AF50" si="7">AD6+AE6</f>
        <v>1402641.5094339622</v>
      </c>
    </row>
    <row r="7" spans="1:32" x14ac:dyDescent="0.2">
      <c r="A7">
        <v>2</v>
      </c>
      <c r="C7">
        <f t="shared" si="0"/>
        <v>1.38E-2</v>
      </c>
      <c r="E7" s="6">
        <f t="shared" ref="E7:E50" si="8">$E$5-F7-G7</f>
        <v>943.20443999999998</v>
      </c>
      <c r="F7" s="6">
        <f t="shared" ref="F7:F50" si="9">F6*(1-tpDcm-$C6)+E6*tpProg*$A7</f>
        <v>27.886000000000003</v>
      </c>
      <c r="G7" s="6">
        <f t="shared" ref="G7:G50" si="10">G6+F6*tpDcm+(E6+F6)*$C6</f>
        <v>28.909559999999999</v>
      </c>
      <c r="I7" s="6">
        <f t="shared" ref="I7:I50" si="11">E7+F7</f>
        <v>971.09043999999994</v>
      </c>
      <c r="J7" s="6">
        <f t="shared" si="1"/>
        <v>916.95871799999986</v>
      </c>
      <c r="K7" s="6">
        <f t="shared" ref="K7:K50" si="12">(E7+F7)/((1+oDR)^$A7)</f>
        <v>864.26703453186167</v>
      </c>
      <c r="L7" s="6">
        <f>(E7*uAsymp+F7*uProg)/((1+oDR)^$A7)</f>
        <v>816.08999466002115</v>
      </c>
      <c r="N7" s="6">
        <f>(E7*cAsymp+'Markov Model'!F7*cProg)/((1+cDR)^$A7)</f>
        <v>494179.61908152356</v>
      </c>
      <c r="O7" s="31">
        <f>F6*tpDcm</f>
        <v>1.5</v>
      </c>
      <c r="P7" s="6">
        <f>F6*tpDcm*cDeath</f>
        <v>1500</v>
      </c>
      <c r="Q7">
        <f>(F6*tpDcm*cDeath)/((1+cDR)^$A6)</f>
        <v>1415.0943396226414</v>
      </c>
      <c r="R7" s="6">
        <f t="shared" si="2"/>
        <v>495594.71342114621</v>
      </c>
      <c r="U7" s="6">
        <f t="shared" ref="U7:U50" si="13">$E$5-V7-W7</f>
        <v>957.84744000000001</v>
      </c>
      <c r="V7" s="6">
        <f t="shared" ref="V7:V50" si="14">V6*(1-tpDcm-$C6)+U6*tpProg*(1-effect)*$A7</f>
        <v>13.993000000000002</v>
      </c>
      <c r="W7" s="6">
        <f t="shared" ref="W7:W50" si="15">W6+V6*tpDcm+(U6+V6)*$C6</f>
        <v>28.159559999999999</v>
      </c>
      <c r="Y7" s="6">
        <f t="shared" si="3"/>
        <v>971.84044000000006</v>
      </c>
      <c r="Z7" s="6">
        <f t="shared" si="4"/>
        <v>920.44981799999994</v>
      </c>
      <c r="AA7" s="6">
        <f t="shared" si="5"/>
        <v>864.93453186187253</v>
      </c>
      <c r="AB7" s="6">
        <f t="shared" si="6"/>
        <v>819.1970612317549</v>
      </c>
      <c r="AD7" s="6">
        <f>(U7*(cAsymp+cDrug)+'Markov Model'!V7*cProg)/((1+cDR)^$A7)</f>
        <v>1316082.3780704874</v>
      </c>
      <c r="AE7">
        <f>(V6*tpDcm*cDeath)/((1+cDR)^$A6)</f>
        <v>707.54716981132071</v>
      </c>
      <c r="AF7" s="6">
        <f t="shared" si="7"/>
        <v>1316789.9252402987</v>
      </c>
    </row>
    <row r="8" spans="1:32" x14ac:dyDescent="0.2">
      <c r="A8">
        <v>3</v>
      </c>
      <c r="C8">
        <f t="shared" si="0"/>
        <v>1.38E-2</v>
      </c>
      <c r="E8" s="6">
        <f t="shared" si="8"/>
        <v>901.89208552800005</v>
      </c>
      <c r="F8" s="6">
        <f t="shared" si="9"/>
        <v>51.6144064</v>
      </c>
      <c r="G8" s="6">
        <f t="shared" si="10"/>
        <v>46.493508071999997</v>
      </c>
      <c r="I8" s="6">
        <f t="shared" si="11"/>
        <v>953.50649192800006</v>
      </c>
      <c r="J8" s="6">
        <f t="shared" si="1"/>
        <v>895.50828605160007</v>
      </c>
      <c r="K8" s="6">
        <f t="shared" si="12"/>
        <v>800.58243711923251</v>
      </c>
      <c r="L8" s="6">
        <f>(E8*uAsymp+F8*uProg)/((1+oDR)^$A8)</f>
        <v>751.88602508412976</v>
      </c>
      <c r="N8" s="6">
        <f>(E8*cAsymp+'Markov Model'!F8*cProg)/((1+cDR)^$A8)</f>
        <v>508632.34579888091</v>
      </c>
      <c r="O8" s="31">
        <f>F7*tpDcm</f>
        <v>4.1829000000000001</v>
      </c>
      <c r="P8" s="6">
        <f>F7*tpDcm*cDeath</f>
        <v>4182.8999999999996</v>
      </c>
      <c r="Q8">
        <f>(F7*tpDcm*cDeath)/((1+cDR)^$A7)</f>
        <v>3722.7661089355634</v>
      </c>
      <c r="R8" s="6">
        <f t="shared" si="2"/>
        <v>512355.11190781649</v>
      </c>
      <c r="U8" s="6">
        <f t="shared" si="13"/>
        <v>930.26143372800004</v>
      </c>
      <c r="V8" s="6">
        <f t="shared" si="14"/>
        <v>26.068658200000002</v>
      </c>
      <c r="W8" s="6">
        <f t="shared" si="15"/>
        <v>43.669908071999998</v>
      </c>
      <c r="Y8" s="6">
        <f t="shared" si="3"/>
        <v>956.330091928</v>
      </c>
      <c r="Z8" s="6">
        <f t="shared" si="4"/>
        <v>903.29985569159999</v>
      </c>
      <c r="AA8" s="6">
        <f t="shared" si="5"/>
        <v>802.95318612680251</v>
      </c>
      <c r="AB8" s="6">
        <f t="shared" si="6"/>
        <v>758.42797719896271</v>
      </c>
      <c r="AD8" s="6">
        <f>(U8*(cAsymp+cDrug)+'Markov Model'!V8*cProg)/((1+cDR)^$A8)</f>
        <v>1237261.4013514509</v>
      </c>
      <c r="AE8">
        <f t="shared" ref="AE7:AE50" si="16">(V7*tpDcm*cDeath)/((1+cDR)^$A7)</f>
        <v>1868.0580277678889</v>
      </c>
      <c r="AF8" s="6">
        <f t="shared" si="7"/>
        <v>1239129.4593792188</v>
      </c>
    </row>
    <row r="9" spans="1:32" x14ac:dyDescent="0.2">
      <c r="A9">
        <v>4</v>
      </c>
      <c r="C9">
        <f t="shared" si="0"/>
        <v>1.38E-2</v>
      </c>
      <c r="E9" s="6">
        <f t="shared" si="8"/>
        <v>853.37029132659359</v>
      </c>
      <c r="F9" s="6">
        <f t="shared" si="9"/>
        <v>79.235650052799997</v>
      </c>
      <c r="G9" s="6">
        <f t="shared" si="10"/>
        <v>67.394058620606401</v>
      </c>
      <c r="I9" s="6">
        <f t="shared" si="11"/>
        <v>932.60594137939358</v>
      </c>
      <c r="J9" s="6">
        <f t="shared" si="1"/>
        <v>870.12851429986392</v>
      </c>
      <c r="K9" s="6">
        <f t="shared" si="12"/>
        <v>738.71125646474638</v>
      </c>
      <c r="L9" s="6">
        <f>(E9*uAsymp+F9*uProg)/((1+oDR)^$A9)</f>
        <v>689.22328237963541</v>
      </c>
      <c r="N9" s="6">
        <f>(E9*cAsymp+'Markov Model'!F9*cProg)/((1+cDR)^$A9)</f>
        <v>526260.76900579373</v>
      </c>
      <c r="O9" s="31">
        <f>F8*tpDcm</f>
        <v>7.7421609599999996</v>
      </c>
      <c r="P9" s="6">
        <f>F8*tpDcm*cDeath</f>
        <v>7742.1609599999992</v>
      </c>
      <c r="Q9">
        <f>(F8*tpDcm*cDeath)/((1+cDR)^$A8)</f>
        <v>6500.4676343558758</v>
      </c>
      <c r="R9" s="6">
        <f t="shared" si="2"/>
        <v>532761.23664014961</v>
      </c>
      <c r="U9" s="6">
        <f t="shared" si="13"/>
        <v>898.8185972679936</v>
      </c>
      <c r="V9" s="6">
        <f t="shared" si="14"/>
        <v>40.403840661400004</v>
      </c>
      <c r="W9" s="6">
        <f t="shared" si="15"/>
        <v>60.7775620706064</v>
      </c>
      <c r="Y9" s="6">
        <f t="shared" si="3"/>
        <v>939.22243792939355</v>
      </c>
      <c r="Z9" s="6">
        <f t="shared" si="4"/>
        <v>884.18054790064389</v>
      </c>
      <c r="AA9" s="6">
        <f t="shared" si="5"/>
        <v>743.9521414548376</v>
      </c>
      <c r="AB9" s="6">
        <f t="shared" si="6"/>
        <v>700.35380915042094</v>
      </c>
      <c r="AD9" s="6">
        <f>(U9*(cAsymp+cDrug)+'Markov Model'!V9*cProg)/((1+cDR)^$A9)</f>
        <v>1163933.6514198168</v>
      </c>
      <c r="AE9">
        <f t="shared" si="16"/>
        <v>3283.1622161247196</v>
      </c>
      <c r="AF9" s="6">
        <f t="shared" si="7"/>
        <v>1167216.8136359416</v>
      </c>
    </row>
    <row r="10" spans="1:32" x14ac:dyDescent="0.2">
      <c r="A10">
        <v>5</v>
      </c>
      <c r="C10">
        <f t="shared" si="0"/>
        <v>1.38E-2</v>
      </c>
      <c r="E10" s="6">
        <f t="shared" si="8"/>
        <v>798.9252667399569</v>
      </c>
      <c r="F10" s="6">
        <f t="shared" si="9"/>
        <v>108.92536514048103</v>
      </c>
      <c r="G10" s="6">
        <f t="shared" si="10"/>
        <v>92.149368119562041</v>
      </c>
      <c r="I10" s="6">
        <f t="shared" si="11"/>
        <v>907.85063188043796</v>
      </c>
      <c r="J10" s="6">
        <f t="shared" si="1"/>
        <v>840.67302725831985</v>
      </c>
      <c r="K10" s="6">
        <f t="shared" si="12"/>
        <v>678.39880441427124</v>
      </c>
      <c r="L10" s="6">
        <f>(E10*uAsymp+F10*uProg)/((1+oDR)^$A10)</f>
        <v>628.19979032682897</v>
      </c>
      <c r="N10" s="6">
        <f>(E10*cAsymp+'Markov Model'!F10*cProg)/((1+cDR)^$A10)</f>
        <v>542687.82554124552</v>
      </c>
      <c r="O10" s="31">
        <f>F9*tpDcm</f>
        <v>11.885347507919999</v>
      </c>
      <c r="P10" s="6">
        <f>F9*tpDcm*cDeath</f>
        <v>11885.347507919998</v>
      </c>
      <c r="Q10">
        <f>(F9*tpDcm*cDeath)/((1+cDR)^$A9)</f>
        <v>9414.3084464052281</v>
      </c>
      <c r="R10" s="6">
        <f t="shared" si="2"/>
        <v>552102.13398765074</v>
      </c>
      <c r="U10" s="6">
        <f t="shared" si="13"/>
        <v>863.94443569399539</v>
      </c>
      <c r="V10" s="6">
        <f t="shared" si="14"/>
        <v>56.256156492762528</v>
      </c>
      <c r="W10" s="6">
        <f t="shared" si="15"/>
        <v>79.799407813242027</v>
      </c>
      <c r="Y10" s="6">
        <f t="shared" si="3"/>
        <v>920.20059218675794</v>
      </c>
      <c r="Z10" s="6">
        <f t="shared" si="4"/>
        <v>862.93933127886748</v>
      </c>
      <c r="AA10" s="6">
        <f t="shared" si="5"/>
        <v>687.62741318774033</v>
      </c>
      <c r="AB10" s="6">
        <f t="shared" si="6"/>
        <v>644.83846798570346</v>
      </c>
      <c r="AD10" s="6">
        <f>(U10*(cAsymp+cDrug)+'Markov Model'!V10*cProg)/((1+cDR)^$A10)</f>
        <v>1094497.9288514834</v>
      </c>
      <c r="AE10">
        <f t="shared" si="16"/>
        <v>4800.5439237560413</v>
      </c>
      <c r="AF10" s="6">
        <f t="shared" si="7"/>
        <v>1099298.4727752395</v>
      </c>
    </row>
    <row r="11" spans="1:32" x14ac:dyDescent="0.2">
      <c r="A11">
        <v>6</v>
      </c>
      <c r="C11">
        <f t="shared" si="0"/>
        <v>1.38E-2</v>
      </c>
      <c r="E11" s="6">
        <f t="shared" si="8"/>
        <v>739.96458205454815</v>
      </c>
      <c r="F11" s="6">
        <f t="shared" si="9"/>
        <v>139.01890633486767</v>
      </c>
      <c r="G11" s="6">
        <f t="shared" si="10"/>
        <v>121.01651161058423</v>
      </c>
      <c r="I11" s="6">
        <f t="shared" si="11"/>
        <v>878.98348838941581</v>
      </c>
      <c r="J11" s="6">
        <f t="shared" si="1"/>
        <v>807.23053270297146</v>
      </c>
      <c r="K11" s="6">
        <f t="shared" si="12"/>
        <v>619.64867501255446</v>
      </c>
      <c r="L11" s="6">
        <f>(E11*uAsymp+F11*uProg)/((1+oDR)^$A11)</f>
        <v>569.06567259369456</v>
      </c>
      <c r="N11" s="6">
        <f>(E11*cAsymp+'Markov Model'!F11*cProg)/((1+cDR)^$A11)</f>
        <v>554831.44585917983</v>
      </c>
      <c r="O11" s="31">
        <f>F10*tpDcm</f>
        <v>16.338804771072155</v>
      </c>
      <c r="P11" s="6">
        <f>F10*tpDcm*cDeath</f>
        <v>16338.804771072155</v>
      </c>
      <c r="Q11">
        <f>(F10*tpDcm*cDeath)/((1+cDR)^$A10)</f>
        <v>12209.305400046591</v>
      </c>
      <c r="R11" s="6">
        <f t="shared" si="2"/>
        <v>567040.75125922647</v>
      </c>
      <c r="U11" s="6">
        <f t="shared" si="13"/>
        <v>826.1036694105984</v>
      </c>
      <c r="V11" s="6">
        <f t="shared" si="14"/>
        <v>72.959731130067894</v>
      </c>
      <c r="W11" s="6">
        <f t="shared" si="15"/>
        <v>100.93659945933368</v>
      </c>
      <c r="Y11" s="6">
        <f t="shared" si="3"/>
        <v>899.06340054066629</v>
      </c>
      <c r="Z11" s="6">
        <f t="shared" si="4"/>
        <v>839.51828428761928</v>
      </c>
      <c r="AA11" s="6">
        <f t="shared" si="5"/>
        <v>633.80422073468128</v>
      </c>
      <c r="AB11" s="6">
        <f t="shared" si="6"/>
        <v>591.82726340038994</v>
      </c>
      <c r="AD11" s="6">
        <f>(U11*(cAsymp+cDrug)+'Markov Model'!V11*cProg)/((1+cDR)^$A11)</f>
        <v>1027856.9283337011</v>
      </c>
      <c r="AE11">
        <f t="shared" si="16"/>
        <v>6305.6809069873025</v>
      </c>
      <c r="AF11" s="6">
        <f t="shared" si="7"/>
        <v>1034162.6092406884</v>
      </c>
    </row>
    <row r="12" spans="1:32" x14ac:dyDescent="0.2">
      <c r="A12">
        <v>7</v>
      </c>
      <c r="C12">
        <f t="shared" si="0"/>
        <v>1.38E-2</v>
      </c>
      <c r="E12" s="6">
        <f t="shared" si="8"/>
        <v>677.95555007837697</v>
      </c>
      <c r="F12" s="6">
        <f t="shared" si="9"/>
        <v>168.0451302210347</v>
      </c>
      <c r="G12" s="6">
        <f t="shared" si="10"/>
        <v>153.99931970058833</v>
      </c>
      <c r="I12" s="6">
        <f t="shared" si="11"/>
        <v>846.00068029941167</v>
      </c>
      <c r="J12" s="6">
        <f t="shared" si="1"/>
        <v>770.09162024023408</v>
      </c>
      <c r="K12" s="6">
        <f t="shared" si="12"/>
        <v>562.6387705624594</v>
      </c>
      <c r="L12" s="6">
        <f>(E12*uAsymp+F12*uProg)/((1+oDR)^$A12)</f>
        <v>512.15491018171815</v>
      </c>
      <c r="N12" s="6">
        <f>(E12*cAsymp+'Markov Model'!F12*cProg)/((1+cDR)^$A12)</f>
        <v>560718.40843895706</v>
      </c>
      <c r="O12" s="31">
        <f>F11*tpDcm</f>
        <v>20.852835950230148</v>
      </c>
      <c r="P12" s="6">
        <f>F11*tpDcm*cDeath</f>
        <v>20852.835950230146</v>
      </c>
      <c r="Q12">
        <f>(F11*tpDcm*cDeath)/((1+cDR)^$A11)</f>
        <v>14700.426501174155</v>
      </c>
      <c r="R12" s="6">
        <f t="shared" si="2"/>
        <v>575418.83494013117</v>
      </c>
      <c r="U12" s="6">
        <f t="shared" si="13"/>
        <v>785.7898103433613</v>
      </c>
      <c r="V12" s="6">
        <f t="shared" si="14"/>
        <v>89.922555600333709</v>
      </c>
      <c r="W12" s="6">
        <f t="shared" si="15"/>
        <v>124.28763405630505</v>
      </c>
      <c r="Y12" s="6">
        <f t="shared" si="3"/>
        <v>875.71236594369498</v>
      </c>
      <c r="Z12" s="6">
        <f t="shared" si="4"/>
        <v>813.94223652644348</v>
      </c>
      <c r="AA12" s="6">
        <f t="shared" si="5"/>
        <v>582.39873845790066</v>
      </c>
      <c r="AB12" s="6">
        <f t="shared" si="6"/>
        <v>541.31807447958522</v>
      </c>
      <c r="AD12" s="6">
        <f>(U12*(cAsymp+cDrug)+'Markov Model'!V12*cProg)/((1+cDR)^$A12)</f>
        <v>963303.56060250395</v>
      </c>
      <c r="AE12">
        <f t="shared" si="16"/>
        <v>7715.0597231679203</v>
      </c>
      <c r="AF12" s="6">
        <f t="shared" si="7"/>
        <v>971018.62032567186</v>
      </c>
    </row>
    <row r="13" spans="1:32" x14ac:dyDescent="0.2">
      <c r="A13">
        <v>8</v>
      </c>
      <c r="C13">
        <f t="shared" si="0"/>
        <v>1.38E-2</v>
      </c>
      <c r="E13" s="6">
        <f t="shared" si="8"/>
        <v>614.3633194810252</v>
      </c>
      <c r="F13" s="6">
        <f t="shared" si="9"/>
        <v>194.75578189709938</v>
      </c>
      <c r="G13" s="6">
        <f t="shared" si="10"/>
        <v>190.88089862187542</v>
      </c>
      <c r="I13" s="6">
        <f t="shared" si="11"/>
        <v>809.11910137812458</v>
      </c>
      <c r="J13" s="6">
        <f t="shared" si="1"/>
        <v>729.71198992979839</v>
      </c>
      <c r="K13" s="6">
        <f t="shared" si="12"/>
        <v>507.65133409361687</v>
      </c>
      <c r="L13" s="6">
        <f>(E13*uAsymp+F13*uProg)/((1+oDR)^$A13)</f>
        <v>457.83032999841782</v>
      </c>
      <c r="N13" s="6">
        <f>(E13*cAsymp+'Markov Model'!F13*cProg)/((1+cDR)^$A13)</f>
        <v>559306.13442828518</v>
      </c>
      <c r="O13" s="31">
        <f>F12*tpDcm</f>
        <v>25.206769533155203</v>
      </c>
      <c r="P13" s="6">
        <f>F12*tpDcm*cDeath</f>
        <v>25206.769533155202</v>
      </c>
      <c r="Q13">
        <f>(F12*tpDcm*cDeath)/((1+cDR)^$A12)</f>
        <v>16763.941389463638</v>
      </c>
      <c r="R13" s="6">
        <f t="shared" si="2"/>
        <v>576070.07581774879</v>
      </c>
      <c r="U13" s="6">
        <f t="shared" si="13"/>
        <v>743.51431854688838</v>
      </c>
      <c r="V13" s="6">
        <f t="shared" si="14"/>
        <v>106.62483340673349</v>
      </c>
      <c r="W13" s="6">
        <f t="shared" si="15"/>
        <v>149.86084804637809</v>
      </c>
      <c r="Y13" s="6">
        <f t="shared" si="3"/>
        <v>850.13915195362188</v>
      </c>
      <c r="Z13" s="6">
        <f t="shared" si="4"/>
        <v>786.30722767459406</v>
      </c>
      <c r="AA13" s="6">
        <f t="shared" si="5"/>
        <v>533.38782129775132</v>
      </c>
      <c r="AB13" s="6">
        <f t="shared" si="6"/>
        <v>493.3388823185345</v>
      </c>
      <c r="AD13" s="6">
        <f>(U13*(cAsymp+cDrug)+'Markov Model'!V13*cProg)/((1+cDR)^$A13)</f>
        <v>900428.34130409581</v>
      </c>
      <c r="AE13">
        <f t="shared" si="16"/>
        <v>8970.545291565295</v>
      </c>
      <c r="AF13" s="6">
        <f t="shared" si="7"/>
        <v>909398.88659566105</v>
      </c>
    </row>
    <row r="14" spans="1:32" x14ac:dyDescent="0.2">
      <c r="A14">
        <v>9</v>
      </c>
      <c r="C14">
        <f t="shared" si="0"/>
        <v>1.38E-2</v>
      </c>
      <c r="E14" s="6">
        <f t="shared" si="8"/>
        <v>550.59240691889477</v>
      </c>
      <c r="F14" s="6">
        <f t="shared" si="9"/>
        <v>218.14748357564676</v>
      </c>
      <c r="G14" s="6">
        <f t="shared" si="10"/>
        <v>231.26010950545844</v>
      </c>
      <c r="I14" s="6">
        <f t="shared" si="11"/>
        <v>768.73989049454156</v>
      </c>
      <c r="J14" s="6">
        <f t="shared" si="1"/>
        <v>686.67339925468514</v>
      </c>
      <c r="K14" s="6">
        <f t="shared" si="12"/>
        <v>455.01596003795879</v>
      </c>
      <c r="L14" s="6">
        <f>(E14*uAsymp+F14*uProg)/((1+oDR)^$A14)</f>
        <v>406.44092996578757</v>
      </c>
      <c r="N14" s="6">
        <f>(E14*cAsymp+'Markov Model'!F14*cProg)/((1+cDR)^$A14)</f>
        <v>550310.88089739613</v>
      </c>
      <c r="O14" s="31">
        <f>F13*tpDcm</f>
        <v>29.213367284564907</v>
      </c>
      <c r="P14" s="6">
        <f>F13*tpDcm*cDeath</f>
        <v>29213.367284564905</v>
      </c>
      <c r="Q14">
        <f>(F13*tpDcm*cDeath)/((1+cDR)^$A13)</f>
        <v>18328.828042888603</v>
      </c>
      <c r="R14" s="6">
        <f t="shared" si="2"/>
        <v>568639.70894028468</v>
      </c>
      <c r="U14" s="6">
        <f t="shared" si="13"/>
        <v>699.79567661633132</v>
      </c>
      <c r="V14" s="6">
        <f t="shared" si="14"/>
        <v>122.61783002932052</v>
      </c>
      <c r="W14" s="6">
        <f t="shared" si="15"/>
        <v>177.58649335434808</v>
      </c>
      <c r="Y14" s="6">
        <f t="shared" si="3"/>
        <v>822.41350664565186</v>
      </c>
      <c r="Z14" s="6">
        <f t="shared" si="4"/>
        <v>756.76926530750507</v>
      </c>
      <c r="AA14" s="6">
        <f t="shared" si="5"/>
        <v>486.78529096990133</v>
      </c>
      <c r="AB14" s="6">
        <f t="shared" si="6"/>
        <v>447.93056538225812</v>
      </c>
      <c r="AD14" s="6">
        <f>(U14*(cAsymp+cDrug)+'Markov Model'!V14*cProg)/((1+cDR)^$A14)</f>
        <v>839043.89424846275</v>
      </c>
      <c r="AE14">
        <f t="shared" si="16"/>
        <v>10034.660935746879</v>
      </c>
      <c r="AF14" s="6">
        <f t="shared" si="7"/>
        <v>849078.5551842096</v>
      </c>
    </row>
    <row r="15" spans="1:32" x14ac:dyDescent="0.2">
      <c r="A15">
        <v>10</v>
      </c>
      <c r="C15">
        <f t="shared" si="0"/>
        <v>3.7900000000000003E-2</v>
      </c>
      <c r="E15" s="6">
        <f t="shared" si="8"/>
        <v>487.93499101152457</v>
      </c>
      <c r="F15" s="6">
        <f t="shared" si="9"/>
        <v>237.47416645784529</v>
      </c>
      <c r="G15" s="6">
        <f t="shared" si="10"/>
        <v>274.59084253063014</v>
      </c>
      <c r="I15" s="6">
        <f t="shared" si="11"/>
        <v>725.4091574693698</v>
      </c>
      <c r="J15" s="6">
        <f t="shared" si="1"/>
        <v>641.64386630433228</v>
      </c>
      <c r="K15" s="6">
        <f t="shared" si="12"/>
        <v>405.06468465729239</v>
      </c>
      <c r="L15" s="6">
        <f>(E15*uAsymp+F15*uProg)/((1+oDR)^$A15)</f>
        <v>358.29058358396134</v>
      </c>
      <c r="N15" s="6">
        <f>(E15*cAsymp+'Markov Model'!F15*cProg)/((1+cDR)^$A15)</f>
        <v>534043.17783447646</v>
      </c>
      <c r="O15" s="31">
        <f>F14*tpDcm</f>
        <v>32.722122536347015</v>
      </c>
      <c r="P15" s="6">
        <f>F14*tpDcm*cDeath</f>
        <v>32722.122536347015</v>
      </c>
      <c r="Q15">
        <f>(F14*tpDcm*cDeath)/((1+cDR)^$A14)</f>
        <v>19368.174052705002</v>
      </c>
      <c r="R15" s="6">
        <f t="shared" si="2"/>
        <v>553411.35188718152</v>
      </c>
      <c r="U15" s="6">
        <f t="shared" si="13"/>
        <v>655.14871244820938</v>
      </c>
      <c r="V15" s="6">
        <f t="shared" si="14"/>
        <v>137.52281330133437</v>
      </c>
      <c r="W15" s="6">
        <f t="shared" si="15"/>
        <v>207.32847425045617</v>
      </c>
      <c r="Y15" s="6">
        <f t="shared" si="3"/>
        <v>792.67152574954378</v>
      </c>
      <c r="Z15" s="6">
        <f t="shared" si="4"/>
        <v>725.53338680179968</v>
      </c>
      <c r="AA15" s="6">
        <f t="shared" si="5"/>
        <v>442.62363978788261</v>
      </c>
      <c r="AB15" s="6">
        <f t="shared" si="6"/>
        <v>405.13405366766085</v>
      </c>
      <c r="AD15" s="6">
        <f>(U15*(cAsymp+cDrug)+'Markov Model'!V15*cProg)/((1+cDR)^$A15)</f>
        <v>779123.49066303088</v>
      </c>
      <c r="AE15">
        <f t="shared" si="16"/>
        <v>10886.595779361087</v>
      </c>
      <c r="AF15" s="6">
        <f t="shared" si="7"/>
        <v>790010.08644239197</v>
      </c>
    </row>
    <row r="16" spans="1:32" x14ac:dyDescent="0.2">
      <c r="A16">
        <v>11</v>
      </c>
      <c r="C16">
        <f t="shared" si="0"/>
        <v>3.7900000000000003E-2</v>
      </c>
      <c r="E16" s="6">
        <f t="shared" si="8"/>
        <v>415.76940584092011</v>
      </c>
      <c r="F16" s="6">
        <f t="shared" si="9"/>
        <v>246.52561959168384</v>
      </c>
      <c r="G16" s="6">
        <f t="shared" si="10"/>
        <v>337.70497456739605</v>
      </c>
      <c r="I16" s="6">
        <f t="shared" si="11"/>
        <v>662.29502543260401</v>
      </c>
      <c r="J16" s="6">
        <f t="shared" si="1"/>
        <v>579.87515024263689</v>
      </c>
      <c r="K16" s="6">
        <f t="shared" si="12"/>
        <v>348.88875752682185</v>
      </c>
      <c r="L16" s="6">
        <f>(E16*uAsymp+F16*uProg)/((1+oDR)^$A16)</f>
        <v>305.47099543241285</v>
      </c>
      <c r="N16" s="6">
        <f>(E16*cAsymp+'Markov Model'!F16*cProg)/((1+cDR)^$A16)</f>
        <v>499110.93148925877</v>
      </c>
      <c r="O16" s="31">
        <f>F15*tpDcm</f>
        <v>35.621124968676789</v>
      </c>
      <c r="P16" s="6">
        <f>F15*tpDcm*cDeath</f>
        <v>35621.124968676791</v>
      </c>
      <c r="Q16">
        <f>(F15*tpDcm*cDeath)/((1+cDR)^$A15)</f>
        <v>19890.650130349812</v>
      </c>
      <c r="R16" s="6">
        <f t="shared" si="2"/>
        <v>519001.58161960857</v>
      </c>
      <c r="U16" s="6">
        <f t="shared" si="13"/>
        <v>594.28539706177082</v>
      </c>
      <c r="V16" s="6">
        <f t="shared" si="14"/>
        <v>147.71545586666514</v>
      </c>
      <c r="W16" s="6">
        <f t="shared" si="15"/>
        <v>257.99914707156404</v>
      </c>
      <c r="Y16" s="6">
        <f t="shared" si="3"/>
        <v>742.00085292843596</v>
      </c>
      <c r="Z16" s="6">
        <f t="shared" si="4"/>
        <v>675.35771910868107</v>
      </c>
      <c r="AA16" s="6">
        <f t="shared" si="5"/>
        <v>390.87679315264256</v>
      </c>
      <c r="AB16" s="6">
        <f t="shared" si="6"/>
        <v>355.77002160339129</v>
      </c>
      <c r="AD16" s="6">
        <f>(U16*(cAsymp+cDrug)+'Markov Model'!V16*cProg)/((1+cDR)^$A16)</f>
        <v>703037.1789161074</v>
      </c>
      <c r="AE16">
        <f t="shared" si="16"/>
        <v>11518.803098120699</v>
      </c>
      <c r="AF16" s="6">
        <f t="shared" si="7"/>
        <v>714555.98201422812</v>
      </c>
    </row>
    <row r="17" spans="1:32" x14ac:dyDescent="0.2">
      <c r="A17">
        <v>12</v>
      </c>
      <c r="C17">
        <f t="shared" si="0"/>
        <v>3.7900000000000003E-2</v>
      </c>
      <c r="E17" s="6">
        <f t="shared" si="8"/>
        <v>350.1194166586389</v>
      </c>
      <c r="F17" s="6">
        <f t="shared" si="9"/>
        <v>250.09578437131682</v>
      </c>
      <c r="G17" s="6">
        <f t="shared" si="10"/>
        <v>399.78479897004433</v>
      </c>
      <c r="I17" s="6">
        <f t="shared" si="11"/>
        <v>600.21520102995578</v>
      </c>
      <c r="J17" s="6">
        <f t="shared" si="1"/>
        <v>520.18528410419458</v>
      </c>
      <c r="K17" s="6">
        <f t="shared" si="12"/>
        <v>298.28856646509854</v>
      </c>
      <c r="L17" s="6">
        <f>(E17*uAsymp+F17*uProg)/((1+oDR)^$A17)</f>
        <v>258.5161495833828</v>
      </c>
      <c r="N17" s="6">
        <f>(E17*cAsymp+'Markov Model'!F17*cProg)/((1+cDR)^$A17)</f>
        <v>459869.14021330944</v>
      </c>
      <c r="O17" s="31">
        <f>F16*tpDcm</f>
        <v>36.978842938752571</v>
      </c>
      <c r="P17" s="6">
        <f>F16*tpDcm*cDeath</f>
        <v>36978.842938752568</v>
      </c>
      <c r="Q17">
        <f>(F16*tpDcm*cDeath)/((1+cDR)^$A16)</f>
        <v>19479.993163550866</v>
      </c>
      <c r="R17" s="6">
        <f t="shared" si="2"/>
        <v>479349.13337686029</v>
      </c>
      <c r="U17" s="6">
        <f t="shared" si="13"/>
        <v>536.10485668942351</v>
      </c>
      <c r="V17" s="6">
        <f t="shared" si="14"/>
        <v>155.61684553302499</v>
      </c>
      <c r="W17" s="6">
        <f t="shared" si="15"/>
        <v>308.27829777755153</v>
      </c>
      <c r="Y17" s="6">
        <f t="shared" si="3"/>
        <v>691.72170222244847</v>
      </c>
      <c r="Z17" s="6">
        <f t="shared" si="4"/>
        <v>626.01224800472107</v>
      </c>
      <c r="AA17" s="6">
        <f t="shared" si="5"/>
        <v>343.76449412588966</v>
      </c>
      <c r="AB17" s="6">
        <f t="shared" si="6"/>
        <v>311.10890848231361</v>
      </c>
      <c r="AD17" s="6">
        <f>(U17*(cAsymp+cDrug)+'Markov Model'!V17*cProg)/((1+cDR)^$A17)</f>
        <v>631651.94821844622</v>
      </c>
      <c r="AE17">
        <f t="shared" si="16"/>
        <v>11672.198918714348</v>
      </c>
      <c r="AF17" s="6">
        <f t="shared" si="7"/>
        <v>643324.14713716053</v>
      </c>
    </row>
    <row r="18" spans="1:32" x14ac:dyDescent="0.2">
      <c r="A18">
        <v>13</v>
      </c>
      <c r="C18">
        <f t="shared" si="0"/>
        <v>3.7900000000000003E-2</v>
      </c>
      <c r="E18" s="6">
        <f t="shared" si="8"/>
        <v>291.33436660165336</v>
      </c>
      <c r="F18" s="6">
        <f t="shared" si="9"/>
        <v>248.61831065356944</v>
      </c>
      <c r="G18" s="6">
        <f t="shared" si="10"/>
        <v>460.0473227447772</v>
      </c>
      <c r="I18" s="6">
        <f t="shared" si="11"/>
        <v>539.95267725522285</v>
      </c>
      <c r="J18" s="6">
        <f t="shared" si="1"/>
        <v>463.23138126174774</v>
      </c>
      <c r="K18" s="6">
        <f t="shared" si="12"/>
        <v>253.1508852615336</v>
      </c>
      <c r="L18" s="6">
        <f>(E18*uAsymp+F18*uProg)/((1+oDR)^$A18)</f>
        <v>217.18094786277888</v>
      </c>
      <c r="N18" s="6">
        <f>(E18*cAsymp+'Markov Model'!F18*cProg)/((1+cDR)^$A18)</f>
        <v>417980.35682674183</v>
      </c>
      <c r="O18" s="31">
        <f>F17*tpDcm</f>
        <v>37.514367655697519</v>
      </c>
      <c r="P18" s="6">
        <f>F17*tpDcm*cDeath</f>
        <v>37514.367655697519</v>
      </c>
      <c r="Q18">
        <f>(F17*tpDcm*cDeath)/((1+cDR)^$A17)</f>
        <v>18643.49141884561</v>
      </c>
      <c r="R18" s="6">
        <f t="shared" si="2"/>
        <v>436623.84824558743</v>
      </c>
      <c r="U18" s="6">
        <f t="shared" si="13"/>
        <v>480.93966693608189</v>
      </c>
      <c r="V18" s="6">
        <f t="shared" si="14"/>
        <v>161.22325594218211</v>
      </c>
      <c r="W18" s="6">
        <f t="shared" si="15"/>
        <v>357.83707712173606</v>
      </c>
      <c r="Y18" s="6">
        <f t="shared" si="3"/>
        <v>642.162922878264</v>
      </c>
      <c r="Z18" s="6">
        <f t="shared" si="4"/>
        <v>577.81012554591439</v>
      </c>
      <c r="AA18" s="6">
        <f t="shared" si="5"/>
        <v>301.07103688260122</v>
      </c>
      <c r="AB18" s="6">
        <f t="shared" si="6"/>
        <v>270.89993430273569</v>
      </c>
      <c r="AD18" s="6">
        <f>(U18*(cAsymp+cDrug)+'Markov Model'!V18*cProg)/((1+cDR)^$A18)</f>
        <v>564988.18584191799</v>
      </c>
      <c r="AE18">
        <f t="shared" si="16"/>
        <v>11600.520702961174</v>
      </c>
      <c r="AF18" s="6">
        <f t="shared" si="7"/>
        <v>576588.70654487913</v>
      </c>
    </row>
    <row r="19" spans="1:32" x14ac:dyDescent="0.2">
      <c r="A19">
        <v>14</v>
      </c>
      <c r="C19">
        <f t="shared" si="0"/>
        <v>3.7900000000000003E-2</v>
      </c>
      <c r="E19" s="6">
        <f t="shared" si="8"/>
        <v>239.50598278321922</v>
      </c>
      <c r="F19" s="6">
        <f t="shared" si="9"/>
        <v>242.68974140599519</v>
      </c>
      <c r="G19" s="6">
        <f t="shared" si="10"/>
        <v>517.80427581078561</v>
      </c>
      <c r="I19" s="6">
        <f t="shared" si="11"/>
        <v>482.19572418921439</v>
      </c>
      <c r="J19" s="6">
        <f t="shared" si="1"/>
        <v>409.54798969855466</v>
      </c>
      <c r="K19" s="6">
        <f t="shared" si="12"/>
        <v>213.27563382864429</v>
      </c>
      <c r="L19" s="6">
        <f>(E19*uAsymp+F19*uProg)/((1+oDR)^$A19)</f>
        <v>181.14347080342708</v>
      </c>
      <c r="N19" s="6">
        <f>(E19*cAsymp+'Markov Model'!F19*cProg)/((1+cDR)^$A19)</f>
        <v>374992.58358663489</v>
      </c>
      <c r="O19" s="31">
        <f>F18*tpDcm</f>
        <v>37.292746598035414</v>
      </c>
      <c r="P19" s="6">
        <f>F18*tpDcm*cDeath</f>
        <v>37292.746598035417</v>
      </c>
      <c r="Q19">
        <f>(F18*tpDcm*cDeath)/((1+cDR)^$A18)</f>
        <v>17484.294851758499</v>
      </c>
      <c r="R19" s="6">
        <f t="shared" si="2"/>
        <v>392476.87843839341</v>
      </c>
      <c r="U19" s="6">
        <f t="shared" si="13"/>
        <v>429.04627687367855</v>
      </c>
      <c r="V19" s="6">
        <f t="shared" si="14"/>
        <v>164.59518283617183</v>
      </c>
      <c r="W19" s="6">
        <f t="shared" si="15"/>
        <v>406.35854029014962</v>
      </c>
      <c r="Y19" s="6">
        <f t="shared" si="3"/>
        <v>593.64145970985032</v>
      </c>
      <c r="Z19" s="6">
        <f t="shared" si="4"/>
        <v>531.0403501571235</v>
      </c>
      <c r="AA19" s="6">
        <f t="shared" si="5"/>
        <v>262.56819012542354</v>
      </c>
      <c r="AB19" s="6">
        <f t="shared" si="6"/>
        <v>234.87965899901491</v>
      </c>
      <c r="AD19" s="6">
        <f>(U19*(cAsymp+cDrug)+'Markov Model'!V19*cProg)/((1+cDR)^$A19)</f>
        <v>503053.19733916636</v>
      </c>
      <c r="AE19">
        <f t="shared" si="16"/>
        <v>11338.163051801617</v>
      </c>
      <c r="AF19" s="6">
        <f t="shared" si="7"/>
        <v>514391.36039096798</v>
      </c>
    </row>
    <row r="20" spans="1:32" x14ac:dyDescent="0.2">
      <c r="A20">
        <v>15</v>
      </c>
      <c r="C20">
        <f t="shared" si="0"/>
        <v>3.7900000000000003E-2</v>
      </c>
      <c r="E20" s="6">
        <f t="shared" si="8"/>
        <v>194.50280861825229</v>
      </c>
      <c r="F20" s="6">
        <f t="shared" si="9"/>
        <v>233.01423641329154</v>
      </c>
      <c r="G20" s="6">
        <f t="shared" si="10"/>
        <v>572.48295496845617</v>
      </c>
      <c r="I20" s="6">
        <f t="shared" si="11"/>
        <v>427.51704503154383</v>
      </c>
      <c r="J20" s="6">
        <f t="shared" si="1"/>
        <v>359.53834549730834</v>
      </c>
      <c r="K20" s="6">
        <f t="shared" si="12"/>
        <v>178.38792576056588</v>
      </c>
      <c r="L20" s="6">
        <f>(E20*uAsymp+F20*uProg)/((1+oDR)^$A20)</f>
        <v>150.02278957069007</v>
      </c>
      <c r="N20" s="6">
        <f>(E20*cAsymp+'Markov Model'!F20*cProg)/((1+cDR)^$A20)</f>
        <v>332265.7116533771</v>
      </c>
      <c r="O20" s="31">
        <f>F19*tpDcm</f>
        <v>36.40346121089928</v>
      </c>
      <c r="P20" s="6">
        <f>F19*tpDcm*cDeath</f>
        <v>36403.461210899281</v>
      </c>
      <c r="Q20">
        <f>(F19*tpDcm*cDeath)/((1+cDR)^$A19)</f>
        <v>16101.286000338767</v>
      </c>
      <c r="R20" s="6">
        <f t="shared" si="2"/>
        <v>348366.99765371589</v>
      </c>
      <c r="U20" s="6">
        <f t="shared" si="13"/>
        <v>380.60695221464027</v>
      </c>
      <c r="V20" s="6">
        <f t="shared" si="14"/>
        <v>165.84621874678103</v>
      </c>
      <c r="W20" s="6">
        <f t="shared" si="15"/>
        <v>453.54682903857872</v>
      </c>
      <c r="Y20" s="6">
        <f t="shared" si="3"/>
        <v>546.45317096142128</v>
      </c>
      <c r="Z20" s="6">
        <f t="shared" si="4"/>
        <v>485.96126866399402</v>
      </c>
      <c r="AA20" s="6">
        <f t="shared" si="5"/>
        <v>228.01581557034606</v>
      </c>
      <c r="AB20" s="6">
        <f t="shared" si="6"/>
        <v>202.77465828420171</v>
      </c>
      <c r="AD20" s="6">
        <f>(U20*(cAsymp+cDrug)+'Markov Model'!V20*cProg)/((1+cDR)^$A20)</f>
        <v>445826.47216272209</v>
      </c>
      <c r="AE20">
        <f t="shared" si="16"/>
        <v>10920.091215103108</v>
      </c>
      <c r="AF20" s="6">
        <f t="shared" si="7"/>
        <v>456746.56337782519</v>
      </c>
    </row>
    <row r="21" spans="1:32" x14ac:dyDescent="0.2">
      <c r="A21">
        <v>16</v>
      </c>
      <c r="C21">
        <f t="shared" si="0"/>
        <v>3.7900000000000003E-2</v>
      </c>
      <c r="E21" s="6">
        <f t="shared" si="8"/>
        <v>156.01070279270016</v>
      </c>
      <c r="F21" s="6">
        <f t="shared" si="9"/>
        <v>220.35131077015441</v>
      </c>
      <c r="G21" s="6">
        <f t="shared" si="10"/>
        <v>623.6379864371454</v>
      </c>
      <c r="I21" s="6">
        <f t="shared" si="11"/>
        <v>376.3620135628546</v>
      </c>
      <c r="J21" s="6">
        <f t="shared" si="1"/>
        <v>313.47365073068096</v>
      </c>
      <c r="K21" s="6">
        <f t="shared" si="12"/>
        <v>148.15350796967437</v>
      </c>
      <c r="L21" s="6">
        <f>(E21*uAsymp+F21*uProg)/((1+oDR)^$A21)</f>
        <v>123.39773765200867</v>
      </c>
      <c r="N21" s="6">
        <f>(E21*cAsymp+'Markov Model'!F21*cProg)/((1+cDR)^$A21)</f>
        <v>290927.94047461182</v>
      </c>
      <c r="O21" s="31">
        <f>F20*tpDcm</f>
        <v>34.952135461993727</v>
      </c>
      <c r="P21" s="6">
        <f>F20*tpDcm*cDeath</f>
        <v>34952.135461993726</v>
      </c>
      <c r="Q21">
        <f>(F20*tpDcm*cDeath)/((1+cDR)^$A20)</f>
        <v>14584.304926385646</v>
      </c>
      <c r="R21" s="6">
        <f t="shared" si="2"/>
        <v>305512.24540099746</v>
      </c>
      <c r="U21" s="6">
        <f t="shared" si="13"/>
        <v>335.7333925485342</v>
      </c>
      <c r="V21" s="6">
        <f t="shared" si="14"/>
        <v>165.13227042143208</v>
      </c>
      <c r="W21" s="6">
        <f t="shared" si="15"/>
        <v>499.13433703003375</v>
      </c>
      <c r="Y21" s="6">
        <f t="shared" si="3"/>
        <v>500.86566296996625</v>
      </c>
      <c r="Z21" s="6">
        <f t="shared" si="4"/>
        <v>442.79592573718156</v>
      </c>
      <c r="AA21" s="6">
        <f t="shared" si="5"/>
        <v>197.16390686746198</v>
      </c>
      <c r="AB21" s="6">
        <f t="shared" si="6"/>
        <v>174.304970609599</v>
      </c>
      <c r="AD21" s="6">
        <f>(U21*(cAsymp+cDrug)+'Markov Model'!V21*cProg)/((1+cDR)^$A21)</f>
        <v>393251.41715986736</v>
      </c>
      <c r="AE21">
        <f t="shared" si="16"/>
        <v>10380.274880720295</v>
      </c>
      <c r="AF21" s="6">
        <f t="shared" si="7"/>
        <v>403631.69204058766</v>
      </c>
    </row>
    <row r="22" spans="1:32" x14ac:dyDescent="0.2">
      <c r="A22">
        <v>17</v>
      </c>
      <c r="C22">
        <f t="shared" si="0"/>
        <v>3.7900000000000003E-2</v>
      </c>
      <c r="E22" s="6">
        <f t="shared" si="8"/>
        <v>123.57607768209789</v>
      </c>
      <c r="F22" s="6">
        <f t="shared" si="9"/>
        <v>205.46911895120144</v>
      </c>
      <c r="G22" s="6">
        <f t="shared" si="10"/>
        <v>670.95480336670073</v>
      </c>
      <c r="I22" s="6">
        <f t="shared" si="11"/>
        <v>329.04519663329933</v>
      </c>
      <c r="J22" s="6">
        <f t="shared" si="1"/>
        <v>271.49911301139412</v>
      </c>
      <c r="K22" s="6">
        <f t="shared" si="12"/>
        <v>122.19567813984646</v>
      </c>
      <c r="L22" s="6">
        <f>(E22*uAsymp+F22*uProg)/((1+oDR)^$A22)</f>
        <v>100.82511025306579</v>
      </c>
      <c r="N22" s="6">
        <f>(E22*cAsymp+'Markov Model'!F22*cProg)/((1+cDR)^$A22)</f>
        <v>251857.63881727782</v>
      </c>
      <c r="O22" s="31">
        <f>F21*tpDcm</f>
        <v>33.052696615523161</v>
      </c>
      <c r="P22" s="6">
        <f>F21*tpDcm*cDeath</f>
        <v>33052.696615523164</v>
      </c>
      <c r="Q22">
        <f>(F21*tpDcm*cDeath)/((1+cDR)^$A21)</f>
        <v>13011.071189386477</v>
      </c>
      <c r="R22" s="6">
        <f t="shared" si="2"/>
        <v>264868.71000666427</v>
      </c>
      <c r="U22" s="6">
        <f t="shared" si="13"/>
        <v>294.47175860431946</v>
      </c>
      <c r="V22" s="6">
        <f t="shared" si="14"/>
        <v>162.64125517587041</v>
      </c>
      <c r="W22" s="6">
        <f t="shared" si="15"/>
        <v>542.88698621981018</v>
      </c>
      <c r="Y22" s="6">
        <f t="shared" si="3"/>
        <v>457.11301378018987</v>
      </c>
      <c r="Z22" s="6">
        <f t="shared" si="4"/>
        <v>401.72911205600627</v>
      </c>
      <c r="AA22" s="6">
        <f t="shared" si="5"/>
        <v>169.75550859558282</v>
      </c>
      <c r="AB22" s="6">
        <f t="shared" si="6"/>
        <v>149.18789813215039</v>
      </c>
      <c r="AD22" s="6">
        <f>(U22*(cAsymp+cDrug)+'Markov Model'!V22*cProg)/((1+cDR)^$A22)</f>
        <v>345232.0256457738</v>
      </c>
      <c r="AE22">
        <f t="shared" si="16"/>
        <v>9750.5556858674354</v>
      </c>
      <c r="AF22" s="6">
        <f t="shared" si="7"/>
        <v>354982.58133164124</v>
      </c>
    </row>
    <row r="23" spans="1:32" x14ac:dyDescent="0.2">
      <c r="A23">
        <v>18</v>
      </c>
      <c r="C23">
        <f t="shared" si="0"/>
        <v>3.7900000000000003E-2</v>
      </c>
      <c r="E23" s="6">
        <f t="shared" si="8"/>
        <v>96.648850355168747</v>
      </c>
      <c r="F23" s="6">
        <f t="shared" si="9"/>
        <v>189.1051654830483</v>
      </c>
      <c r="G23" s="6">
        <f t="shared" si="10"/>
        <v>714.24598416178299</v>
      </c>
      <c r="I23" s="6">
        <f t="shared" si="11"/>
        <v>285.75401583821701</v>
      </c>
      <c r="J23" s="6">
        <f t="shared" si="1"/>
        <v>233.64528194969654</v>
      </c>
      <c r="K23" s="6">
        <f t="shared" si="12"/>
        <v>100.11214523915565</v>
      </c>
      <c r="L23" s="6">
        <f>(E23*uAsymp+F23*uProg)/((1+oDR)^$A23)</f>
        <v>81.856173857708541</v>
      </c>
      <c r="N23" s="6">
        <f>(E23*cAsymp+'Markov Model'!F23*cProg)/((1+cDR)^$A23)</f>
        <v>215685.62411319459</v>
      </c>
      <c r="O23" s="31">
        <f>F22*tpDcm</f>
        <v>30.820367842680213</v>
      </c>
      <c r="P23" s="6">
        <f>F22*tpDcm*cDeath</f>
        <v>30820.367842680214</v>
      </c>
      <c r="Q23">
        <f>(F22*tpDcm*cDeath)/((1+cDR)^$A22)</f>
        <v>11445.587984841275</v>
      </c>
      <c r="R23" s="6">
        <f t="shared" si="2"/>
        <v>227131.21209803587</v>
      </c>
      <c r="U23" s="6">
        <f t="shared" si="13"/>
        <v>256.80882067882692</v>
      </c>
      <c r="V23" s="6">
        <f t="shared" si="14"/>
        <v>158.58342160271309</v>
      </c>
      <c r="W23" s="6">
        <f t="shared" si="15"/>
        <v>584.60775771845999</v>
      </c>
      <c r="Y23" s="6">
        <f t="shared" si="3"/>
        <v>415.39224228154001</v>
      </c>
      <c r="Z23" s="6">
        <f t="shared" si="4"/>
        <v>362.90594584692042</v>
      </c>
      <c r="AA23" s="6">
        <f t="shared" si="5"/>
        <v>145.53009296657569</v>
      </c>
      <c r="AB23" s="6">
        <f t="shared" si="6"/>
        <v>127.14184489133983</v>
      </c>
      <c r="AD23" s="6">
        <f>(U23*(cAsymp+cDrug)+'Markov Model'!V23*cProg)/((1+cDR)^$A23)</f>
        <v>301633.21515166672</v>
      </c>
      <c r="AE23">
        <f t="shared" si="16"/>
        <v>9059.8762752399543</v>
      </c>
      <c r="AF23" s="6">
        <f t="shared" si="7"/>
        <v>310693.0914269067</v>
      </c>
    </row>
    <row r="24" spans="1:32" x14ac:dyDescent="0.2">
      <c r="A24">
        <v>19</v>
      </c>
      <c r="C24">
        <f t="shared" si="0"/>
        <v>3.7900000000000003E-2</v>
      </c>
      <c r="E24" s="6">
        <f t="shared" si="8"/>
        <v>74.622577359225716</v>
      </c>
      <c r="F24" s="6">
        <f t="shared" si="9"/>
        <v>171.93558645626558</v>
      </c>
      <c r="G24" s="6">
        <f t="shared" si="10"/>
        <v>753.4418361845087</v>
      </c>
      <c r="I24" s="6">
        <f t="shared" si="11"/>
        <v>246.5581638154913</v>
      </c>
      <c r="J24" s="6">
        <f t="shared" si="1"/>
        <v>199.84313833346363</v>
      </c>
      <c r="K24" s="6">
        <f t="shared" si="12"/>
        <v>81.490680985825108</v>
      </c>
      <c r="L24" s="6">
        <f>(E24*uAsymp+F24*uProg)/((1+oDR)^$A24)</f>
        <v>66.050757278210995</v>
      </c>
      <c r="N24" s="6">
        <f>(E24*cAsymp+'Markov Model'!F24*cProg)/((1+cDR)^$A24)</f>
        <v>182812.7112219483</v>
      </c>
      <c r="O24" s="31">
        <f>F23*tpDcm</f>
        <v>28.365774822457244</v>
      </c>
      <c r="P24" s="6">
        <f>F23*tpDcm*cDeath</f>
        <v>28365.774822457242</v>
      </c>
      <c r="Q24">
        <f>(F23*tpDcm*cDeath)/((1+cDR)^$A23)</f>
        <v>9937.7730896170033</v>
      </c>
      <c r="R24" s="6">
        <f t="shared" si="2"/>
        <v>192750.48431156529</v>
      </c>
      <c r="U24" s="6">
        <f t="shared" si="13"/>
        <v>222.67892841061087</v>
      </c>
      <c r="V24" s="6">
        <f t="shared" si="14"/>
        <v>153.18243464805184</v>
      </c>
      <c r="W24" s="6">
        <f t="shared" si="15"/>
        <v>624.13863694133727</v>
      </c>
      <c r="Y24" s="6">
        <f t="shared" si="3"/>
        <v>375.86136305866273</v>
      </c>
      <c r="Z24" s="6">
        <f t="shared" si="4"/>
        <v>326.43180797611922</v>
      </c>
      <c r="AA24" s="6">
        <f t="shared" si="5"/>
        <v>124.22707063486996</v>
      </c>
      <c r="AB24" s="6">
        <f t="shared" si="6"/>
        <v>107.88995957690003</v>
      </c>
      <c r="AD24" s="6">
        <f>(U24*(cAsymp+cDrug)+'Markov Model'!V24*cProg)/((1+cDR)^$A24)</f>
        <v>262283.78739900311</v>
      </c>
      <c r="AE24">
        <f t="shared" si="16"/>
        <v>8333.8075701803191</v>
      </c>
      <c r="AF24" s="6">
        <f t="shared" si="7"/>
        <v>270617.59496918344</v>
      </c>
    </row>
    <row r="25" spans="1:32" x14ac:dyDescent="0.2">
      <c r="A25">
        <v>20</v>
      </c>
      <c r="C25">
        <f t="shared" si="0"/>
        <v>9.1200000000000003E-2</v>
      </c>
      <c r="E25" s="6">
        <f t="shared" si="8"/>
        <v>56.869866205465883</v>
      </c>
      <c r="F25" s="6">
        <f t="shared" si="9"/>
        <v>154.55340523297843</v>
      </c>
      <c r="G25" s="6">
        <f t="shared" si="10"/>
        <v>788.57672856155568</v>
      </c>
      <c r="I25" s="6">
        <f t="shared" si="11"/>
        <v>211.42327143844432</v>
      </c>
      <c r="J25" s="6">
        <f t="shared" si="1"/>
        <v>169.94142681992642</v>
      </c>
      <c r="K25" s="6">
        <f t="shared" si="12"/>
        <v>65.922775408226599</v>
      </c>
      <c r="L25" s="6">
        <f>(E25*uAsymp+F25*uProg)/((1+oDR)^$A25)</f>
        <v>52.988540176218635</v>
      </c>
      <c r="N25" s="6">
        <f>(E25*cAsymp+'Markov Model'!F25*cProg)/((1+cDR)^$A25)</f>
        <v>153437.59347407118</v>
      </c>
      <c r="O25" s="31">
        <f>F24*tpDcm</f>
        <v>25.790337968439836</v>
      </c>
      <c r="P25" s="6">
        <f>F24*tpDcm*cDeath</f>
        <v>25790.337968439835</v>
      </c>
      <c r="Q25">
        <f>(F24*tpDcm*cDeath)/((1+cDR)^$A24)</f>
        <v>8524.0422437421439</v>
      </c>
      <c r="R25" s="6">
        <f t="shared" si="2"/>
        <v>161961.63571781333</v>
      </c>
      <c r="U25" s="6">
        <f t="shared" si="13"/>
        <v>191.97150418278773</v>
      </c>
      <c r="V25" s="6">
        <f t="shared" si="14"/>
        <v>146.66734801874395</v>
      </c>
      <c r="W25" s="6">
        <f t="shared" si="15"/>
        <v>661.36114779846832</v>
      </c>
      <c r="Y25" s="6">
        <f t="shared" si="3"/>
        <v>338.63885220153168</v>
      </c>
      <c r="Z25" s="6">
        <f t="shared" si="4"/>
        <v>292.37343998770632</v>
      </c>
      <c r="AA25" s="6">
        <f t="shared" si="5"/>
        <v>105.58919482371564</v>
      </c>
      <c r="AB25" s="6">
        <f t="shared" si="6"/>
        <v>91.163420604111721</v>
      </c>
      <c r="AD25" s="6">
        <f>(U25*(cAsymp+cDrug)+'Markov Model'!V25*cProg)/((1+cDR)^$A25)</f>
        <v>226981.15082370958</v>
      </c>
      <c r="AE25">
        <f t="shared" si="16"/>
        <v>7594.318144669819</v>
      </c>
      <c r="AF25" s="6">
        <f t="shared" si="7"/>
        <v>234575.4689683794</v>
      </c>
    </row>
    <row r="26" spans="1:32" x14ac:dyDescent="0.2">
      <c r="A26">
        <v>21</v>
      </c>
      <c r="C26">
        <f t="shared" si="0"/>
        <v>9.1200000000000003E-2</v>
      </c>
      <c r="E26" s="6">
        <f t="shared" si="8"/>
        <v>39.740662504379657</v>
      </c>
      <c r="F26" s="6">
        <f t="shared" si="9"/>
        <v>129.21779579393186</v>
      </c>
      <c r="G26" s="6">
        <f t="shared" si="10"/>
        <v>831.04154170168852</v>
      </c>
      <c r="I26" s="6">
        <f t="shared" si="11"/>
        <v>168.95845829831151</v>
      </c>
      <c r="J26" s="6">
        <f t="shared" si="1"/>
        <v>134.66697622460958</v>
      </c>
      <c r="K26" s="6">
        <f t="shared" si="12"/>
        <v>49.700043344149876</v>
      </c>
      <c r="L26" s="6">
        <f>(E26*uAsymp+F26*uProg)/((1+oDR)^$A26)</f>
        <v>39.613018624801121</v>
      </c>
      <c r="N26" s="6">
        <f>(E26*cAsymp+'Markov Model'!F26*cProg)/((1+cDR)^$A26)</f>
        <v>119875.30357384079</v>
      </c>
      <c r="O26" s="31">
        <f>F25*tpDcm</f>
        <v>23.183010784946763</v>
      </c>
      <c r="P26" s="6">
        <f>F25*tpDcm*cDeath</f>
        <v>23183.010784946764</v>
      </c>
      <c r="Q26">
        <f>(F25*tpDcm*cDeath)/((1+cDR)^$A25)</f>
        <v>7228.5723461974721</v>
      </c>
      <c r="R26" s="6">
        <f t="shared" si="2"/>
        <v>127103.87592003826</v>
      </c>
      <c r="U26" s="6">
        <f t="shared" si="13"/>
        <v>154.30669506212473</v>
      </c>
      <c r="V26" s="6">
        <f t="shared" si="14"/>
        <v>131.4481916158156</v>
      </c>
      <c r="W26" s="6">
        <f t="shared" si="15"/>
        <v>714.24511332205964</v>
      </c>
      <c r="Y26" s="6">
        <f t="shared" si="3"/>
        <v>285.75488667794036</v>
      </c>
      <c r="Z26" s="6">
        <f t="shared" si="4"/>
        <v>245.17750402088018</v>
      </c>
      <c r="AA26" s="6">
        <f t="shared" si="5"/>
        <v>84.05634377073504</v>
      </c>
      <c r="AB26" s="6">
        <f t="shared" si="6"/>
        <v>72.120287433813544</v>
      </c>
      <c r="AD26" s="6">
        <f>(U26*(cAsymp+cDrug)+'Markov Model'!V26*cProg)/((1+cDR)^$A26)</f>
        <v>184083.809268988</v>
      </c>
      <c r="AE26">
        <f t="shared" si="16"/>
        <v>6859.7358588136103</v>
      </c>
      <c r="AF26" s="6">
        <f t="shared" si="7"/>
        <v>190943.5451278016</v>
      </c>
    </row>
    <row r="27" spans="1:32" x14ac:dyDescent="0.2">
      <c r="A27">
        <v>22</v>
      </c>
      <c r="C27">
        <f t="shared" si="0"/>
        <v>9.1200000000000003E-2</v>
      </c>
      <c r="E27" s="6">
        <f t="shared" si="8"/>
        <v>27.373368333016742</v>
      </c>
      <c r="F27" s="6">
        <f t="shared" si="9"/>
        <v>106.79340919939901</v>
      </c>
      <c r="G27" s="6">
        <f t="shared" si="10"/>
        <v>865.83322246758428</v>
      </c>
      <c r="I27" s="6">
        <f t="shared" si="11"/>
        <v>134.16677753241575</v>
      </c>
      <c r="J27" s="6">
        <f t="shared" si="1"/>
        <v>106.09975681591517</v>
      </c>
      <c r="K27" s="6">
        <f t="shared" si="12"/>
        <v>37.231964600997607</v>
      </c>
      <c r="L27" s="6">
        <f>(E27*uAsymp+F27*uProg)/((1+oDR)^$A27)</f>
        <v>29.443223297139891</v>
      </c>
      <c r="N27" s="6">
        <f>(E27*cAsymp+'Markov Model'!F27*cProg)/((1+cDR)^$A27)</f>
        <v>92705.270723096794</v>
      </c>
      <c r="O27" s="31">
        <f>F26*tpDcm</f>
        <v>19.382669369089779</v>
      </c>
      <c r="P27" s="6">
        <f>F26*tpDcm*cDeath</f>
        <v>19382.669369089777</v>
      </c>
      <c r="Q27">
        <f>(F26*tpDcm*cDeath)/((1+cDR)^$A26)</f>
        <v>5701.5169141059514</v>
      </c>
      <c r="R27" s="6">
        <f t="shared" si="2"/>
        <v>98406.787637202739</v>
      </c>
      <c r="U27" s="6">
        <f t="shared" si="13"/>
        <v>123.26018801562532</v>
      </c>
      <c r="V27" s="6">
        <f t="shared" si="14"/>
        <v>116.71662425491459</v>
      </c>
      <c r="W27" s="6">
        <f t="shared" si="15"/>
        <v>760.02318772946012</v>
      </c>
      <c r="Y27" s="6">
        <f t="shared" si="3"/>
        <v>239.97681227053991</v>
      </c>
      <c r="Z27" s="6">
        <f t="shared" si="4"/>
        <v>204.63464680602999</v>
      </c>
      <c r="AA27" s="6">
        <f t="shared" si="5"/>
        <v>66.594788544863647</v>
      </c>
      <c r="AB27" s="6">
        <f t="shared" si="6"/>
        <v>56.787157492688223</v>
      </c>
      <c r="AD27" s="6">
        <f>(U27*(cAsymp+cDrug)+'Markov Model'!V27*cProg)/((1+cDR)^$A27)</f>
        <v>148476.37000428728</v>
      </c>
      <c r="AE27">
        <f t="shared" si="16"/>
        <v>5799.929361288544</v>
      </c>
      <c r="AF27" s="6">
        <f t="shared" si="7"/>
        <v>154276.29936557583</v>
      </c>
    </row>
    <row r="28" spans="1:32" x14ac:dyDescent="0.2">
      <c r="A28">
        <v>23</v>
      </c>
      <c r="C28">
        <f t="shared" si="0"/>
        <v>9.1200000000000003E-2</v>
      </c>
      <c r="E28" s="6">
        <f t="shared" si="8"/>
        <v>18.581042424451766</v>
      </c>
      <c r="F28" s="6">
        <f t="shared" si="9"/>
        <v>87.330713617097814</v>
      </c>
      <c r="G28" s="6">
        <f t="shared" si="10"/>
        <v>894.08824395845045</v>
      </c>
      <c r="I28" s="6">
        <f t="shared" si="11"/>
        <v>105.91175604154958</v>
      </c>
      <c r="J28" s="6">
        <f t="shared" si="1"/>
        <v>83.150025516052551</v>
      </c>
      <c r="K28" s="6">
        <f t="shared" si="12"/>
        <v>27.727407664179946</v>
      </c>
      <c r="L28" s="6">
        <f>(E28*uAsymp+F28*uProg)/((1+oDR)^$A28)</f>
        <v>21.768448951654467</v>
      </c>
      <c r="N28" s="6">
        <f>(E28*cAsymp+'Markov Model'!F28*cProg)/((1+cDR)^$A28)</f>
        <v>71021.057948546033</v>
      </c>
      <c r="O28" s="31">
        <f>F27*tpDcm</f>
        <v>16.019011379909852</v>
      </c>
      <c r="P28" s="6">
        <f>F27*tpDcm*cDeath</f>
        <v>16019.011379909853</v>
      </c>
      <c r="Q28">
        <f>(F27*tpDcm*cDeath)/((1+cDR)^$A27)</f>
        <v>4445.3573053558794</v>
      </c>
      <c r="R28" s="6">
        <f t="shared" si="2"/>
        <v>75466.415253901912</v>
      </c>
      <c r="U28" s="6">
        <f t="shared" si="13"/>
        <v>97.843937246803421</v>
      </c>
      <c r="V28" s="6">
        <f t="shared" si="14"/>
        <v>102.73949610642609</v>
      </c>
      <c r="W28" s="6">
        <f t="shared" si="15"/>
        <v>799.41656664677055</v>
      </c>
      <c r="Y28" s="6">
        <f t="shared" si="3"/>
        <v>200.58343335322951</v>
      </c>
      <c r="Z28" s="6">
        <f t="shared" si="4"/>
        <v>170.0063624642828</v>
      </c>
      <c r="AA28" s="6">
        <f t="shared" si="5"/>
        <v>52.512193500823493</v>
      </c>
      <c r="AB28" s="6">
        <f t="shared" si="6"/>
        <v>44.507200085533974</v>
      </c>
      <c r="AD28" s="6">
        <f>(U28*(cAsymp+cDrug)+'Markov Model'!V28*cProg)/((1+cDR)^$A28)</f>
        <v>119113.6683030978</v>
      </c>
      <c r="AE28">
        <f t="shared" si="16"/>
        <v>4858.418718699184</v>
      </c>
      <c r="AF28" s="6">
        <f t="shared" si="7"/>
        <v>123972.08702179699</v>
      </c>
    </row>
    <row r="29" spans="1:32" x14ac:dyDescent="0.2">
      <c r="A29">
        <v>24</v>
      </c>
      <c r="C29">
        <f t="shared" si="0"/>
        <v>9.1200000000000003E-2</v>
      </c>
      <c r="E29" s="6">
        <f t="shared" si="8"/>
        <v>12.427001173473286</v>
      </c>
      <c r="F29" s="6">
        <f t="shared" si="9"/>
        <v>70.725995674522238</v>
      </c>
      <c r="G29" s="6">
        <f t="shared" si="10"/>
        <v>916.8470031520045</v>
      </c>
      <c r="I29" s="6">
        <f t="shared" si="11"/>
        <v>83.152996847995524</v>
      </c>
      <c r="J29" s="6">
        <f t="shared" si="1"/>
        <v>64.850147870691302</v>
      </c>
      <c r="K29" s="6">
        <f t="shared" si="12"/>
        <v>20.537006451150337</v>
      </c>
      <c r="L29" s="6">
        <f>(E29*uAsymp+F29*uProg)/((1+oDR)^$A29)</f>
        <v>16.016595380356943</v>
      </c>
      <c r="N29" s="6">
        <f>(E29*cAsymp+'Markov Model'!F29*cProg)/((1+cDR)^$A29)</f>
        <v>53938.012578523638</v>
      </c>
      <c r="O29" s="31">
        <f>F28*tpDcm</f>
        <v>13.099607042564672</v>
      </c>
      <c r="P29" s="6">
        <f>F28*tpDcm*cDeath</f>
        <v>13099.607042564672</v>
      </c>
      <c r="Q29">
        <f>(F28*tpDcm*cDeath)/((1+cDR)^$A28)</f>
        <v>3429.4412469873637</v>
      </c>
      <c r="R29" s="6">
        <f t="shared" si="2"/>
        <v>57367.453825511002</v>
      </c>
      <c r="U29" s="6">
        <f t="shared" si="13"/>
        <v>77.179297700278426</v>
      </c>
      <c r="V29" s="6">
        <f t="shared" si="14"/>
        <v>89.700002115172509</v>
      </c>
      <c r="W29" s="6">
        <f t="shared" si="15"/>
        <v>833.12070018454904</v>
      </c>
      <c r="Y29" s="6">
        <f t="shared" si="3"/>
        <v>166.87929981545093</v>
      </c>
      <c r="Z29" s="6">
        <f t="shared" si="4"/>
        <v>140.59533440164387</v>
      </c>
      <c r="AA29" s="6">
        <f t="shared" si="5"/>
        <v>41.215607215435945</v>
      </c>
      <c r="AB29" s="6">
        <f t="shared" si="6"/>
        <v>34.724031593069427</v>
      </c>
      <c r="AD29" s="6">
        <f>(U29*(cAsymp+cDrug)+'Markov Model'!V29*cProg)/((1+cDR)^$A29)</f>
        <v>95054.375285114322</v>
      </c>
      <c r="AE29">
        <f t="shared" si="16"/>
        <v>4034.5378051862554</v>
      </c>
      <c r="AF29" s="6">
        <f t="shared" si="7"/>
        <v>99088.913090300572</v>
      </c>
    </row>
    <row r="30" spans="1:32" x14ac:dyDescent="0.2">
      <c r="A30">
        <v>25</v>
      </c>
      <c r="C30">
        <f t="shared" si="0"/>
        <v>9.1200000000000003E-2</v>
      </c>
      <c r="E30" s="6">
        <f t="shared" si="8"/>
        <v>8.1869083730840657</v>
      </c>
      <c r="F30" s="6">
        <f t="shared" si="9"/>
        <v>56.773635811195788</v>
      </c>
      <c r="G30" s="6">
        <f t="shared" si="10"/>
        <v>935.03945581572009</v>
      </c>
      <c r="I30" s="6">
        <f t="shared" si="11"/>
        <v>64.960544184279854</v>
      </c>
      <c r="J30" s="6">
        <f t="shared" si="1"/>
        <v>50.357789812826702</v>
      </c>
      <c r="K30" s="6">
        <f t="shared" si="12"/>
        <v>15.135717831724984</v>
      </c>
      <c r="L30" s="6">
        <f>(E30*uAsymp+F30*uProg)/((1+oDR)^$A30)</f>
        <v>11.733296061591629</v>
      </c>
      <c r="N30" s="6">
        <f>(E30*cAsymp+'Markov Model'!F30*cProg)/((1+cDR)^$A30)</f>
        <v>40638.307397701305</v>
      </c>
      <c r="O30" s="31">
        <f>F29*tpDcm</f>
        <v>10.608899351178335</v>
      </c>
      <c r="P30" s="6">
        <f>F29*tpDcm*cDeath</f>
        <v>10608.899351178336</v>
      </c>
      <c r="Q30">
        <f>(F29*tpDcm*cDeath)/((1+cDR)^$A29)</f>
        <v>2620.170561176908</v>
      </c>
      <c r="R30" s="6">
        <f t="shared" si="2"/>
        <v>43258.477958878211</v>
      </c>
      <c r="U30" s="6">
        <f t="shared" si="13"/>
        <v>60.493133537478229</v>
      </c>
      <c r="V30" s="6">
        <f t="shared" si="14"/>
        <v>77.7117738175277</v>
      </c>
      <c r="W30" s="6">
        <f t="shared" si="15"/>
        <v>861.79509264499404</v>
      </c>
      <c r="Y30" s="6">
        <f t="shared" si="3"/>
        <v>138.20490735500593</v>
      </c>
      <c r="Z30" s="6">
        <f t="shared" si="4"/>
        <v>115.75230722375008</v>
      </c>
      <c r="AA30" s="6">
        <f t="shared" si="5"/>
        <v>32.201554142634102</v>
      </c>
      <c r="AB30" s="6">
        <f t="shared" si="6"/>
        <v>26.970129060799909</v>
      </c>
      <c r="AD30" s="6">
        <f>(U30*(cAsymp+cDrug)+'Markov Model'!V30*cProg)/((1+cDR)^$A30)</f>
        <v>75462.436524219782</v>
      </c>
      <c r="AE30">
        <f t="shared" si="16"/>
        <v>3323.0964461960407</v>
      </c>
      <c r="AF30" s="6">
        <f t="shared" si="7"/>
        <v>78785.532970415821</v>
      </c>
    </row>
    <row r="31" spans="1:32" x14ac:dyDescent="0.2">
      <c r="A31">
        <v>26</v>
      </c>
      <c r="C31">
        <f t="shared" si="0"/>
        <v>9.1200000000000003E-2</v>
      </c>
      <c r="E31" s="6">
        <f t="shared" si="8"/>
        <v>5.3116661524569508</v>
      </c>
      <c r="F31" s="6">
        <f t="shared" si="9"/>
        <v>45.20843103053722</v>
      </c>
      <c r="G31" s="6">
        <f t="shared" si="10"/>
        <v>949.47990281700584</v>
      </c>
      <c r="I31" s="6">
        <f t="shared" si="11"/>
        <v>50.520097182994171</v>
      </c>
      <c r="J31" s="6">
        <f t="shared" si="1"/>
        <v>38.95240611773702</v>
      </c>
      <c r="K31" s="6">
        <f t="shared" si="12"/>
        <v>11.104824015623903</v>
      </c>
      <c r="L31" s="6">
        <f>(E31*uAsymp+F31*uProg)/((1+oDR)^$A31)</f>
        <v>8.5621295096832792</v>
      </c>
      <c r="N31" s="6">
        <f>(E31*cAsymp+'Markov Model'!F31*cProg)/((1+cDR)^$A31)</f>
        <v>30395.578322304813</v>
      </c>
      <c r="O31" s="31">
        <f>F30*tpDcm</f>
        <v>8.5160453716793683</v>
      </c>
      <c r="P31" s="6">
        <f>F30*tpDcm*cDeath</f>
        <v>8516.0453716793691</v>
      </c>
      <c r="Q31">
        <f>(F30*tpDcm*cDeath)/((1+cDR)^$A30)</f>
        <v>1984.2269089103286</v>
      </c>
      <c r="R31" s="6">
        <f t="shared" si="2"/>
        <v>32379.805231215141</v>
      </c>
      <c r="U31" s="6">
        <f t="shared" si="13"/>
        <v>47.112052398988112</v>
      </c>
      <c r="V31" s="6">
        <f t="shared" si="14"/>
        <v>66.831801332612187</v>
      </c>
      <c r="W31" s="6">
        <f t="shared" si="15"/>
        <v>886.05614626839974</v>
      </c>
      <c r="Y31" s="6">
        <f t="shared" si="3"/>
        <v>113.9438537316003</v>
      </c>
      <c r="Z31" s="6">
        <f t="shared" si="4"/>
        <v>94.88030077849784</v>
      </c>
      <c r="AA31" s="6">
        <f t="shared" si="5"/>
        <v>25.046001767734928</v>
      </c>
      <c r="AB31" s="6">
        <f t="shared" si="6"/>
        <v>20.855641644516663</v>
      </c>
      <c r="AD31" s="6">
        <f>(U31*(cAsymp+cDrug)+'Markov Model'!V31*cProg)/((1+cDR)^$A31)</f>
        <v>59604.452912838766</v>
      </c>
      <c r="AE31">
        <f t="shared" si="16"/>
        <v>2716.0105310268632</v>
      </c>
      <c r="AF31" s="6">
        <f t="shared" si="7"/>
        <v>62320.463443865629</v>
      </c>
    </row>
    <row r="32" spans="1:32" x14ac:dyDescent="0.2">
      <c r="A32">
        <v>27</v>
      </c>
      <c r="C32">
        <f t="shared" si="0"/>
        <v>9.1200000000000003E-2</v>
      </c>
      <c r="E32" s="6">
        <f t="shared" si="8"/>
        <v>3.39309233818949</v>
      </c>
      <c r="F32" s="6">
        <f t="shared" si="9"/>
        <v>35.738307327135018</v>
      </c>
      <c r="G32" s="6">
        <f t="shared" si="10"/>
        <v>960.86860033467553</v>
      </c>
      <c r="I32" s="6">
        <f t="shared" si="11"/>
        <v>39.131399665324508</v>
      </c>
      <c r="J32" s="6">
        <f t="shared" si="1"/>
        <v>30.027168216631278</v>
      </c>
      <c r="K32" s="6">
        <f t="shared" si="12"/>
        <v>8.1145981948390826</v>
      </c>
      <c r="L32" s="6">
        <f>(E32*uAsymp+F32*uProg)/((1+oDR)^$A32)</f>
        <v>6.2266723677333369</v>
      </c>
      <c r="N32" s="6">
        <f>(E32*cAsymp+'Markov Model'!F32*cProg)/((1+cDR)^$A32)</f>
        <v>22584.748064466941</v>
      </c>
      <c r="O32" s="31">
        <f>F31*tpDcm</f>
        <v>6.7812646545805828</v>
      </c>
      <c r="P32" s="6">
        <f>F31*tpDcm*cDeath</f>
        <v>6781.2646545805828</v>
      </c>
      <c r="Q32">
        <f>(F31*tpDcm*cDeath)/((1+cDR)^$A31)</f>
        <v>1490.5899788695717</v>
      </c>
      <c r="R32" s="6">
        <f t="shared" si="2"/>
        <v>24075.338043336513</v>
      </c>
      <c r="U32" s="6">
        <f t="shared" si="13"/>
        <v>36.455306146336966</v>
      </c>
      <c r="V32" s="6">
        <f t="shared" si="14"/>
        <v>57.072097925049519</v>
      </c>
      <c r="W32" s="6">
        <f t="shared" si="15"/>
        <v>906.47259592861349</v>
      </c>
      <c r="Y32" s="6">
        <f t="shared" si="3"/>
        <v>93.527404071386485</v>
      </c>
      <c r="Z32" s="6">
        <f t="shared" si="4"/>
        <v>77.436614282807255</v>
      </c>
      <c r="AA32" s="6">
        <f t="shared" si="5"/>
        <v>19.394586207918728</v>
      </c>
      <c r="AB32" s="6">
        <f t="shared" si="6"/>
        <v>16.057872088601336</v>
      </c>
      <c r="AD32" s="6">
        <f>(U32*(cAsymp+cDrug)+'Markov Model'!V32*cProg)/((1+cDR)^$A32)</f>
        <v>46844.265378789009</v>
      </c>
      <c r="AE32">
        <f t="shared" si="16"/>
        <v>2203.5450261236379</v>
      </c>
      <c r="AF32" s="6">
        <f t="shared" si="7"/>
        <v>49047.810404912649</v>
      </c>
    </row>
    <row r="33" spans="1:32" x14ac:dyDescent="0.2">
      <c r="A33">
        <v>28</v>
      </c>
      <c r="C33">
        <f t="shared" si="0"/>
        <v>9.1200000000000003E-2</v>
      </c>
      <c r="E33" s="6">
        <f t="shared" si="8"/>
        <v>2.1335764622534725</v>
      </c>
      <c r="F33" s="6">
        <f t="shared" si="9"/>
        <v>28.068293454523108</v>
      </c>
      <c r="G33" s="6">
        <f t="shared" si="10"/>
        <v>969.79813008322344</v>
      </c>
      <c r="I33" s="6">
        <f t="shared" si="11"/>
        <v>30.20186991677658</v>
      </c>
      <c r="J33" s="6">
        <f t="shared" si="1"/>
        <v>23.078117730033128</v>
      </c>
      <c r="K33" s="6">
        <f t="shared" si="12"/>
        <v>5.9083961334404691</v>
      </c>
      <c r="L33" s="6">
        <f>(E33*uAsymp+F33*uProg)/((1+oDR)^$A33)</f>
        <v>4.5147754738016799</v>
      </c>
      <c r="N33" s="6">
        <f>(E33*cAsymp+'Markov Model'!F33*cProg)/((1+cDR)^$A33)</f>
        <v>16681.70872880481</v>
      </c>
      <c r="O33" s="31">
        <f>F32*tpDcm</f>
        <v>5.3607460990702522</v>
      </c>
      <c r="P33" s="6">
        <f>F32*tpDcm*cDeath</f>
        <v>5360.7460990702521</v>
      </c>
      <c r="Q33">
        <f>(F32*tpDcm*cDeath)/((1+cDR)^$A32)</f>
        <v>1111.6469380228436</v>
      </c>
      <c r="R33" s="6">
        <f t="shared" si="2"/>
        <v>17793.355666827654</v>
      </c>
      <c r="U33" s="6">
        <f t="shared" si="13"/>
        <v>28.026839365303886</v>
      </c>
      <c r="V33" s="6">
        <f t="shared" si="14"/>
        <v>48.410050766014741</v>
      </c>
      <c r="W33" s="6">
        <f t="shared" si="15"/>
        <v>923.56310986868141</v>
      </c>
      <c r="Y33" s="6">
        <f t="shared" si="3"/>
        <v>76.43689013131862</v>
      </c>
      <c r="Z33" s="6">
        <f t="shared" si="4"/>
        <v>62.933035471549744</v>
      </c>
      <c r="AA33" s="6">
        <f t="shared" si="5"/>
        <v>14.953359753835331</v>
      </c>
      <c r="AB33" s="6">
        <f t="shared" si="6"/>
        <v>12.31159873446213</v>
      </c>
      <c r="AD33" s="6">
        <f>(U33*(cAsymp+cDrug)+'Markov Model'!V33*cProg)/((1+cDR)^$A33)</f>
        <v>36635.737368363756</v>
      </c>
      <c r="AE33">
        <f t="shared" si="16"/>
        <v>1775.2386066910915</v>
      </c>
      <c r="AF33" s="6">
        <f t="shared" si="7"/>
        <v>38410.975975054847</v>
      </c>
    </row>
    <row r="34" spans="1:32" x14ac:dyDescent="0.2">
      <c r="A34">
        <v>29</v>
      </c>
      <c r="C34">
        <f t="shared" si="0"/>
        <v>9.1200000000000003E-2</v>
      </c>
      <c r="E34" s="6">
        <f t="shared" si="8"/>
        <v>1.320257114842434</v>
      </c>
      <c r="F34" s="6">
        <f t="shared" si="9"/>
        <v>21.91695824734564</v>
      </c>
      <c r="G34" s="6">
        <f t="shared" si="10"/>
        <v>976.76278463781193</v>
      </c>
      <c r="I34" s="6">
        <f t="shared" si="11"/>
        <v>23.237215362188074</v>
      </c>
      <c r="J34" s="6">
        <f t="shared" si="1"/>
        <v>17.691962944609543</v>
      </c>
      <c r="K34" s="6">
        <f t="shared" si="12"/>
        <v>4.2885846852317178</v>
      </c>
      <c r="L34" s="6">
        <f>(E34*uAsymp+F34*uProg)/((1+oDR)^$A34)</f>
        <v>3.2651709834131819</v>
      </c>
      <c r="N34" s="6">
        <f>(E34*cAsymp+'Markov Model'!F34*cProg)/((1+cDR)^$A34)</f>
        <v>12256.598187077736</v>
      </c>
      <c r="O34" s="6"/>
      <c r="P34" s="6">
        <f>F33*tpDcm*cDeath</f>
        <v>4210.2440181784659</v>
      </c>
      <c r="Q34">
        <f>(F33*tpDcm*cDeath)/((1+cDR)^$A33)</f>
        <v>823.65063972507448</v>
      </c>
      <c r="R34" s="6">
        <f t="shared" si="2"/>
        <v>13080.24882680281</v>
      </c>
      <c r="U34" s="6">
        <f t="shared" si="13"/>
        <v>21.406899907219099</v>
      </c>
      <c r="V34" s="6">
        <f t="shared" si="14"/>
        <v>40.797438229221044</v>
      </c>
      <c r="W34" s="6">
        <f t="shared" si="15"/>
        <v>937.79566186355987</v>
      </c>
      <c r="Y34" s="6">
        <f t="shared" si="3"/>
        <v>62.204338136440143</v>
      </c>
      <c r="Z34" s="6">
        <f t="shared" si="4"/>
        <v>50.93463358377393</v>
      </c>
      <c r="AA34" s="6">
        <f t="shared" si="5"/>
        <v>11.48022978351365</v>
      </c>
      <c r="AB34" s="6">
        <f t="shared" si="6"/>
        <v>9.4003298644254318</v>
      </c>
      <c r="AD34" s="6">
        <f>(U34*(cAsymp+cDrug)+'Markov Model'!V34*cProg)/((1+cDR)^$A34)</f>
        <v>28514.507899614506</v>
      </c>
      <c r="AE34">
        <f t="shared" si="16"/>
        <v>1420.5697737610758</v>
      </c>
      <c r="AF34" s="6">
        <f t="shared" si="7"/>
        <v>29935.077673375581</v>
      </c>
    </row>
    <row r="35" spans="1:32" x14ac:dyDescent="0.2">
      <c r="A35">
        <v>30</v>
      </c>
      <c r="C35">
        <f t="shared" si="0"/>
        <v>0.1958</v>
      </c>
      <c r="E35" s="6">
        <f t="shared" si="8"/>
        <v>0.8037725315160742</v>
      </c>
      <c r="F35" s="6">
        <f t="shared" si="9"/>
        <v>17.026665052538601</v>
      </c>
      <c r="G35" s="6">
        <f t="shared" si="10"/>
        <v>982.16956241594528</v>
      </c>
      <c r="I35" s="6">
        <f t="shared" si="11"/>
        <v>17.830437584054675</v>
      </c>
      <c r="J35" s="6">
        <f t="shared" si="1"/>
        <v>13.53358269434422</v>
      </c>
      <c r="K35" s="6">
        <f t="shared" si="12"/>
        <v>3.104459821953653</v>
      </c>
      <c r="L35" s="6">
        <f>(E35*uAsymp+F35*uProg)/((1+oDR)^$A35)</f>
        <v>2.3563338546021666</v>
      </c>
      <c r="N35" s="6">
        <f>(E35*cAsymp+'Markov Model'!F35*cProg)/((1+cDR)^$A35)</f>
        <v>8963.5171141493702</v>
      </c>
      <c r="O35" s="6"/>
      <c r="P35" s="6">
        <f>F34*tpDcm*cDeath</f>
        <v>3287.5437371018461</v>
      </c>
      <c r="Q35">
        <f>(F34*tpDcm*cDeath)/((1+cDR)^$A34)</f>
        <v>606.73835066771255</v>
      </c>
      <c r="R35" s="6">
        <f t="shared" si="2"/>
        <v>9570.2554648170826</v>
      </c>
      <c r="U35" s="6">
        <f t="shared" si="13"/>
        <v>16.243555649597852</v>
      </c>
      <c r="V35" s="6">
        <f t="shared" si="14"/>
        <v>34.168131114415786</v>
      </c>
      <c r="W35" s="6">
        <f t="shared" si="15"/>
        <v>949.58831323598633</v>
      </c>
      <c r="Y35" s="6">
        <f t="shared" si="3"/>
        <v>50.411686764013638</v>
      </c>
      <c r="Z35" s="6">
        <f t="shared" si="4"/>
        <v>41.057476202929799</v>
      </c>
      <c r="AA35" s="6">
        <f t="shared" si="5"/>
        <v>8.7771853819083034</v>
      </c>
      <c r="AB35" s="6">
        <f t="shared" si="6"/>
        <v>7.1485225565523587</v>
      </c>
      <c r="AD35" s="6">
        <f>(U35*(cAsymp+cDrug)+'Markov Model'!V35*cProg)/((1+cDR)^$A35)</f>
        <v>22089.304744816429</v>
      </c>
      <c r="AE35">
        <f t="shared" si="16"/>
        <v>1129.4163224344024</v>
      </c>
      <c r="AF35" s="6">
        <f t="shared" si="7"/>
        <v>23218.72106725083</v>
      </c>
    </row>
    <row r="36" spans="1:32" x14ac:dyDescent="0.2">
      <c r="A36">
        <v>31</v>
      </c>
      <c r="C36">
        <f t="shared" si="0"/>
        <v>0.1958</v>
      </c>
      <c r="E36" s="6">
        <f t="shared" si="8"/>
        <v>0.39722438507533298</v>
      </c>
      <c r="F36" s="6">
        <f t="shared" si="9"/>
        <v>11.388013762140735</v>
      </c>
      <c r="G36" s="6">
        <f t="shared" si="10"/>
        <v>988.21476185278391</v>
      </c>
      <c r="I36" s="6">
        <f t="shared" si="11"/>
        <v>11.785238147216068</v>
      </c>
      <c r="J36" s="6">
        <f t="shared" si="1"/>
        <v>8.9183734874271181</v>
      </c>
      <c r="K36" s="6">
        <f t="shared" si="12"/>
        <v>1.9357824119101794</v>
      </c>
      <c r="L36" s="6">
        <f>(E36*uAsymp+F36*uProg)/((1+oDR)^$A36)</f>
        <v>1.4648860145338349</v>
      </c>
      <c r="N36" s="6">
        <f>(E36*cAsymp+'Markov Model'!F36*cProg)/((1+cDR)^$A36)</f>
        <v>5644.2321657155326</v>
      </c>
      <c r="O36" s="6"/>
      <c r="P36" s="6">
        <f>F35*tpDcm*cDeath</f>
        <v>2553.9997578807897</v>
      </c>
      <c r="Q36">
        <f>(F35*tpDcm*cDeath)/((1+cDR)^$A35)</f>
        <v>444.67723219035253</v>
      </c>
      <c r="R36" s="6">
        <f t="shared" si="2"/>
        <v>6088.9093979058853</v>
      </c>
      <c r="U36" s="6">
        <f t="shared" si="13"/>
        <v>10.545316327718979</v>
      </c>
      <c r="V36" s="6">
        <f t="shared" si="14"/>
        <v>24.870542500738473</v>
      </c>
      <c r="W36" s="6">
        <f t="shared" si="15"/>
        <v>964.58414117154257</v>
      </c>
      <c r="Y36" s="6">
        <f t="shared" si="3"/>
        <v>35.415858828457452</v>
      </c>
      <c r="Z36" s="6">
        <f t="shared" si="4"/>
        <v>28.670957386886883</v>
      </c>
      <c r="AA36" s="6">
        <f t="shared" si="5"/>
        <v>5.8172262423917624</v>
      </c>
      <c r="AB36" s="6">
        <f t="shared" si="6"/>
        <v>4.7093435320415953</v>
      </c>
      <c r="AD36" s="6">
        <f>(U36*(cAsymp+cDrug)+'Markov Model'!V36*cProg)/((1+cDR)^$A36)</f>
        <v>14853.499850316985</v>
      </c>
      <c r="AE36">
        <f t="shared" si="16"/>
        <v>892.35266719539732</v>
      </c>
      <c r="AF36" s="6">
        <f t="shared" si="7"/>
        <v>15745.852517512381</v>
      </c>
    </row>
    <row r="37" spans="1:32" x14ac:dyDescent="0.2">
      <c r="A37">
        <v>32</v>
      </c>
      <c r="C37">
        <f t="shared" si="0"/>
        <v>0.1958</v>
      </c>
      <c r="E37" s="6">
        <f t="shared" si="8"/>
        <v>0.1923360472535478</v>
      </c>
      <c r="F37" s="6">
        <f t="shared" si="9"/>
        <v>7.5771504064165764</v>
      </c>
      <c r="G37" s="6">
        <f t="shared" si="10"/>
        <v>992.23051354632992</v>
      </c>
      <c r="I37" s="6">
        <f t="shared" si="11"/>
        <v>7.7694864536701242</v>
      </c>
      <c r="J37" s="6">
        <f t="shared" si="1"/>
        <v>5.8655820497033027</v>
      </c>
      <c r="K37" s="6">
        <f t="shared" si="12"/>
        <v>1.2039393944080679</v>
      </c>
      <c r="L37" s="6">
        <f>(E37*uAsymp+F37*uProg)/((1+oDR)^$A37)</f>
        <v>0.90891532444011081</v>
      </c>
      <c r="N37" s="6">
        <f>(E37*cAsymp+'Markov Model'!F37*cProg)/((1+cDR)^$A37)</f>
        <v>3537.308450298453</v>
      </c>
      <c r="O37" s="6"/>
      <c r="P37" s="6">
        <f>F36*tpDcm*cDeath</f>
        <v>1708.2020643211101</v>
      </c>
      <c r="Q37">
        <f>(F36*tpDcm*cDeath)/((1+cDR)^$A36)</f>
        <v>280.5804575856265</v>
      </c>
      <c r="R37" s="6">
        <f t="shared" si="2"/>
        <v>3817.8889078840793</v>
      </c>
      <c r="U37" s="6">
        <f t="shared" si="13"/>
        <v>6.7932927783165269</v>
      </c>
      <c r="V37" s="6">
        <f t="shared" si="14"/>
        <v>17.957559516418147</v>
      </c>
      <c r="W37" s="6">
        <f t="shared" si="15"/>
        <v>975.24914770526527</v>
      </c>
      <c r="Y37" s="6">
        <f t="shared" si="3"/>
        <v>24.750852294734674</v>
      </c>
      <c r="Z37" s="6">
        <f t="shared" si="4"/>
        <v>19.92179777671431</v>
      </c>
      <c r="AA37" s="6">
        <f t="shared" si="5"/>
        <v>3.8353276372250149</v>
      </c>
      <c r="AB37" s="6">
        <f t="shared" si="6"/>
        <v>3.0870299206825482</v>
      </c>
      <c r="AD37" s="6">
        <f>(U37*(cAsymp+cDrug)+'Markov Model'!V37*cProg)/((1+cDR)^$A37)</f>
        <v>9926.97646594664</v>
      </c>
      <c r="AE37">
        <f t="shared" si="16"/>
        <v>612.76604867293418</v>
      </c>
      <c r="AF37" s="6">
        <f t="shared" si="7"/>
        <v>10539.742514619575</v>
      </c>
    </row>
    <row r="38" spans="1:32" x14ac:dyDescent="0.2">
      <c r="A38">
        <v>33</v>
      </c>
      <c r="C38">
        <f t="shared" si="0"/>
        <v>0.1958</v>
      </c>
      <c r="E38" s="6">
        <f t="shared" si="8"/>
        <v>9.1205753607596307E-2</v>
      </c>
      <c r="F38" s="6">
        <f t="shared" si="9"/>
        <v>5.0204426914713949</v>
      </c>
      <c r="G38" s="6">
        <f t="shared" si="10"/>
        <v>994.88835155492097</v>
      </c>
      <c r="I38" s="6">
        <f t="shared" si="11"/>
        <v>5.1116484450789912</v>
      </c>
      <c r="J38" s="6">
        <f t="shared" si="1"/>
        <v>3.8519774845307628</v>
      </c>
      <c r="K38" s="6">
        <f t="shared" si="12"/>
        <v>0.74725258094084657</v>
      </c>
      <c r="L38" s="6">
        <f>(E38*uAsymp+F38*uProg)/((1+oDR)^$A38)</f>
        <v>0.56310604063796521</v>
      </c>
      <c r="N38" s="6">
        <f>(E38*cAsymp+'Markov Model'!F38*cProg)/((1+cDR)^$A38)</f>
        <v>2208.4251811684107</v>
      </c>
      <c r="O38" s="6"/>
      <c r="P38" s="6">
        <f>F37*tpDcm*cDeath</f>
        <v>1136.5725609624865</v>
      </c>
      <c r="Q38">
        <f>(F37*tpDcm*cDeath)/((1+cDR)^$A37)</f>
        <v>176.12032518566517</v>
      </c>
      <c r="R38" s="6">
        <f t="shared" si="2"/>
        <v>2384.5455063540758</v>
      </c>
      <c r="U38" s="6">
        <f t="shared" si="13"/>
        <v>4.3422727438999118</v>
      </c>
      <c r="V38" s="6">
        <f t="shared" si="14"/>
        <v>12.868728744062979</v>
      </c>
      <c r="W38" s="6">
        <f t="shared" si="15"/>
        <v>982.7889985120371</v>
      </c>
      <c r="Y38" s="6">
        <f t="shared" si="3"/>
        <v>17.211001487962889</v>
      </c>
      <c r="Z38" s="6">
        <f t="shared" si="4"/>
        <v>13.77670566475215</v>
      </c>
      <c r="AA38" s="6">
        <f t="shared" si="5"/>
        <v>2.516011306457965</v>
      </c>
      <c r="AB38" s="6">
        <f t="shared" si="6"/>
        <v>2.0139645704232971</v>
      </c>
      <c r="AD38" s="6">
        <f>(U38*(cAsymp+cDrug)+'Markov Model'!V38*cProg)/((1+cDR)^$A38)</f>
        <v>6595.8632400252236</v>
      </c>
      <c r="AE38">
        <f t="shared" si="16"/>
        <v>417.39850101091179</v>
      </c>
      <c r="AF38" s="6">
        <f t="shared" si="7"/>
        <v>7013.2617410361354</v>
      </c>
    </row>
    <row r="39" spans="1:32" x14ac:dyDescent="0.2">
      <c r="A39">
        <v>34</v>
      </c>
      <c r="C39">
        <f t="shared" si="0"/>
        <v>0.1958</v>
      </c>
      <c r="E39" s="6">
        <f t="shared" si="8"/>
        <v>4.2337710824654096E-2</v>
      </c>
      <c r="F39" s="6">
        <f t="shared" si="9"/>
        <v>3.3153835649871692</v>
      </c>
      <c r="G39" s="6">
        <f t="shared" si="10"/>
        <v>996.64227872418815</v>
      </c>
      <c r="I39" s="6">
        <f t="shared" si="11"/>
        <v>3.3577212758118233</v>
      </c>
      <c r="J39" s="6">
        <f t="shared" si="1"/>
        <v>2.5267584990237983</v>
      </c>
      <c r="K39" s="6">
        <f t="shared" si="12"/>
        <v>0.46306848316108551</v>
      </c>
      <c r="L39" s="6">
        <f>(E39*uAsymp+F39*uProg)/((1+oDR)^$A39)</f>
        <v>0.34846913407797259</v>
      </c>
      <c r="N39" s="6">
        <f>(E39*cAsymp+'Markov Model'!F39*cProg)/((1+cDR)^$A39)</f>
        <v>1374.6083031437756</v>
      </c>
      <c r="O39" s="6"/>
      <c r="P39" s="6">
        <f>F38*tpDcm*cDeath</f>
        <v>753.06640372070922</v>
      </c>
      <c r="Q39">
        <f>(F38*tpDcm*cDeath)/((1+cDR)^$A38)</f>
        <v>110.08793344187923</v>
      </c>
      <c r="R39" s="6">
        <f t="shared" si="2"/>
        <v>1484.6962365856548</v>
      </c>
      <c r="U39" s="6">
        <f t="shared" si="13"/>
        <v>2.7538693741813631</v>
      </c>
      <c r="V39" s="6">
        <f t="shared" si="14"/>
        <v>9.1569087108289864</v>
      </c>
      <c r="W39" s="6">
        <f t="shared" si="15"/>
        <v>988.08922191498971</v>
      </c>
      <c r="Y39" s="6">
        <f t="shared" si="3"/>
        <v>11.91077808501035</v>
      </c>
      <c r="Z39" s="6">
        <f t="shared" si="4"/>
        <v>9.4838574385940344</v>
      </c>
      <c r="AA39" s="6">
        <f t="shared" si="5"/>
        <v>1.6426336458676167</v>
      </c>
      <c r="AB39" s="6">
        <f t="shared" si="6"/>
        <v>1.3079333029344153</v>
      </c>
      <c r="AD39" s="6">
        <f>(U39*(cAsymp+cDrug)+'Markov Model'!V39*cProg)/((1+cDR)^$A39)</f>
        <v>4358.2154236000797</v>
      </c>
      <c r="AE39">
        <f t="shared" si="16"/>
        <v>282.18462803382749</v>
      </c>
      <c r="AF39" s="6">
        <f t="shared" si="7"/>
        <v>4640.4000516339074</v>
      </c>
    </row>
    <row r="40" spans="1:32" x14ac:dyDescent="0.2">
      <c r="A40">
        <v>35</v>
      </c>
      <c r="C40">
        <f t="shared" si="0"/>
        <v>0.1958</v>
      </c>
      <c r="E40" s="6">
        <f t="shared" si="8"/>
        <v>1.9229788256552638E-2</v>
      </c>
      <c r="F40" s="6">
        <f t="shared" si="9"/>
        <v>2.1837421270032351</v>
      </c>
      <c r="G40" s="6">
        <f t="shared" si="10"/>
        <v>997.79702808474019</v>
      </c>
      <c r="I40" s="6">
        <f t="shared" si="11"/>
        <v>2.2029719152597877</v>
      </c>
      <c r="J40" s="6">
        <f t="shared" si="1"/>
        <v>1.6560748940961514</v>
      </c>
      <c r="K40" s="6">
        <f t="shared" si="12"/>
        <v>0.28661814194750018</v>
      </c>
      <c r="L40" s="6">
        <f>(E40*uAsymp+F40*uProg)/((1+oDR)^$A40)</f>
        <v>0.21546398562042821</v>
      </c>
      <c r="N40" s="6">
        <f>(E40*cAsymp+'Markov Model'!F40*cProg)/((1+cDR)^$A40)</f>
        <v>853.59968634496261</v>
      </c>
      <c r="O40" s="6"/>
      <c r="P40" s="6">
        <f>F39*tpDcm*cDeath</f>
        <v>497.3075347480754</v>
      </c>
      <c r="Q40">
        <f>(F39*tpDcm*cDeath)/((1+cDR)^$A39)</f>
        <v>68.584443693793986</v>
      </c>
      <c r="R40" s="6">
        <f t="shared" si="2"/>
        <v>922.18413003875662</v>
      </c>
      <c r="U40" s="6">
        <f t="shared" si="13"/>
        <v>1.7327346102348429</v>
      </c>
      <c r="V40" s="6">
        <f t="shared" si="14"/>
        <v>6.4723768191060618</v>
      </c>
      <c r="W40" s="6">
        <f t="shared" si="15"/>
        <v>991.79488857065905</v>
      </c>
      <c r="Y40" s="6">
        <f t="shared" si="3"/>
        <v>8.2051114293409046</v>
      </c>
      <c r="Z40" s="6">
        <f t="shared" si="4"/>
        <v>6.5003804940526475</v>
      </c>
      <c r="AA40" s="6">
        <f t="shared" si="5"/>
        <v>1.0675278137045869</v>
      </c>
      <c r="AB40" s="6">
        <f t="shared" si="6"/>
        <v>0.84573342322316081</v>
      </c>
      <c r="AD40" s="6">
        <f>(U40*(cAsymp+cDrug)+'Markov Model'!V40*cProg)/((1+cDR)^$A40)</f>
        <v>2864.4267190283563</v>
      </c>
      <c r="AE40">
        <f t="shared" si="16"/>
        <v>189.42649547986548</v>
      </c>
      <c r="AF40" s="6">
        <f t="shared" si="7"/>
        <v>3053.8532145082218</v>
      </c>
    </row>
    <row r="41" spans="1:32" x14ac:dyDescent="0.2">
      <c r="A41">
        <v>36</v>
      </c>
      <c r="C41">
        <f t="shared" si="0"/>
        <v>0.1958</v>
      </c>
      <c r="E41" s="6">
        <f t="shared" si="8"/>
        <v>8.5418719436347601E-3</v>
      </c>
      <c r="F41" s="6">
        <f t="shared" si="9"/>
        <v>1.4355268232578755</v>
      </c>
      <c r="G41" s="6">
        <f t="shared" si="10"/>
        <v>998.55593130479849</v>
      </c>
      <c r="I41" s="6">
        <f t="shared" si="11"/>
        <v>1.4440686952015103</v>
      </c>
      <c r="J41" s="6">
        <f t="shared" si="1"/>
        <v>1.0847598957898597</v>
      </c>
      <c r="K41" s="6">
        <f t="shared" si="12"/>
        <v>0.1772461064452043</v>
      </c>
      <c r="L41" s="6">
        <f>(E41*uAsymp+F41*uProg)/((1+oDR)^$A41)</f>
        <v>0.1331442670252112</v>
      </c>
      <c r="N41" s="6">
        <f>(E41*cAsymp+'Markov Model'!F41*cProg)/((1+cDR)^$A41)</f>
        <v>529.11722944426344</v>
      </c>
      <c r="O41" s="6"/>
      <c r="P41" s="6">
        <f>F40*tpDcm*cDeath</f>
        <v>327.56131905048522</v>
      </c>
      <c r="Q41">
        <f>(F40*tpDcm*cDeath)/((1+cDR)^$A40)</f>
        <v>42.617436922272745</v>
      </c>
      <c r="R41" s="6">
        <f t="shared" si="2"/>
        <v>571.7346663665362</v>
      </c>
      <c r="U41" s="6">
        <f t="shared" si="13"/>
        <v>1.0815729437085793</v>
      </c>
      <c r="V41" s="6">
        <f t="shared" si="14"/>
        <v>4.5461211449014574</v>
      </c>
      <c r="W41" s="6">
        <f t="shared" si="15"/>
        <v>994.37230591138996</v>
      </c>
      <c r="Y41" s="6">
        <f t="shared" si="3"/>
        <v>5.6276940886100366</v>
      </c>
      <c r="Z41" s="6">
        <f t="shared" si="4"/>
        <v>4.4370851551992434</v>
      </c>
      <c r="AA41" s="6">
        <f t="shared" si="5"/>
        <v>0.69074751691894332</v>
      </c>
      <c r="AB41" s="6">
        <f t="shared" si="6"/>
        <v>0.54461125730250404</v>
      </c>
      <c r="AD41" s="6">
        <f>(U41*(cAsymp+cDrug)+'Markov Model'!V41*cProg)/((1+cDR)^$A41)</f>
        <v>1873.1129036571058</v>
      </c>
      <c r="AE41">
        <f t="shared" si="16"/>
        <v>126.31349984714758</v>
      </c>
      <c r="AF41" s="6">
        <f t="shared" si="7"/>
        <v>1999.4264035042534</v>
      </c>
    </row>
    <row r="42" spans="1:32" x14ac:dyDescent="0.2">
      <c r="A42">
        <v>37</v>
      </c>
      <c r="C42">
        <f t="shared" si="0"/>
        <v>0.1958</v>
      </c>
      <c r="E42" s="6">
        <f t="shared" si="8"/>
        <v>3.7088807978307159E-3</v>
      </c>
      <c r="F42" s="6">
        <f t="shared" si="9"/>
        <v>0.94228214039444702</v>
      </c>
      <c r="G42" s="6">
        <f t="shared" si="10"/>
        <v>999.0540089788077</v>
      </c>
      <c r="I42" s="6">
        <f t="shared" si="11"/>
        <v>0.94599102119227774</v>
      </c>
      <c r="J42" s="6">
        <f t="shared" si="1"/>
        <v>0.71023504205377452</v>
      </c>
      <c r="K42" s="6">
        <f t="shared" si="12"/>
        <v>0.10953930965086972</v>
      </c>
      <c r="L42" s="6">
        <f>(E42*uAsymp+F42*uProg)/((1+oDR)^$A42)</f>
        <v>8.2240374859344351E-2</v>
      </c>
      <c r="N42" s="6">
        <f>(E42*cAsymp+'Markov Model'!F42*cProg)/((1+cDR)^$A42)</f>
        <v>327.54427118770855</v>
      </c>
      <c r="O42" s="6"/>
      <c r="P42" s="6">
        <f>F41*tpDcm*cDeath</f>
        <v>215.32902348868132</v>
      </c>
      <c r="Q42">
        <f>(F41*tpDcm*cDeath)/((1+cDR)^$A41)</f>
        <v>26.429650573299675</v>
      </c>
      <c r="R42" s="6">
        <f t="shared" si="2"/>
        <v>353.97392176100823</v>
      </c>
      <c r="U42" s="6">
        <f t="shared" si="13"/>
        <v>0.66970996674433536</v>
      </c>
      <c r="V42" s="6">
        <f t="shared" si="14"/>
        <v>3.1741634475806206</v>
      </c>
      <c r="W42" s="6">
        <f t="shared" si="15"/>
        <v>996.156126585675</v>
      </c>
      <c r="Y42" s="6">
        <f t="shared" si="3"/>
        <v>3.843873414324956</v>
      </c>
      <c r="Z42" s="6">
        <f t="shared" si="4"/>
        <v>3.016847054092584</v>
      </c>
      <c r="AA42" s="6">
        <f t="shared" si="5"/>
        <v>0.44509433045126701</v>
      </c>
      <c r="AB42" s="6">
        <f t="shared" si="6"/>
        <v>0.34933031733331138</v>
      </c>
      <c r="AD42" s="6">
        <f>(U42*(cAsymp+cDrug)+'Markov Model'!V42*cProg)/((1+cDR)^$A42)</f>
        <v>1218.9612201423424</v>
      </c>
      <c r="AE42">
        <f t="shared" si="16"/>
        <v>83.699162827869088</v>
      </c>
      <c r="AF42" s="6">
        <f t="shared" si="7"/>
        <v>1302.6603829702115</v>
      </c>
    </row>
    <row r="43" spans="1:32" x14ac:dyDescent="0.2">
      <c r="A43">
        <v>38</v>
      </c>
      <c r="C43">
        <f t="shared" si="0"/>
        <v>0.1958</v>
      </c>
      <c r="E43" s="6">
        <f t="shared" si="8"/>
        <v>1.5733072344801258E-3</v>
      </c>
      <c r="F43" s="6">
        <f t="shared" si="9"/>
        <v>0.61785035094922292</v>
      </c>
      <c r="G43" s="6">
        <f t="shared" si="10"/>
        <v>999.38057634181632</v>
      </c>
      <c r="I43" s="6">
        <f t="shared" si="11"/>
        <v>0.61942365818370304</v>
      </c>
      <c r="J43" s="6">
        <f t="shared" si="1"/>
        <v>0.46488240508467332</v>
      </c>
      <c r="K43" s="6">
        <f t="shared" si="12"/>
        <v>6.7665128150469503E-2</v>
      </c>
      <c r="L43" s="6">
        <f>(E43*uAsymp+F43*uProg)/((1+oDR)^$A43)</f>
        <v>5.0783219367484769E-2</v>
      </c>
      <c r="N43" s="6">
        <f>(E43*cAsymp+'Markov Model'!F43*cProg)/((1+cDR)^$A43)</f>
        <v>202.56571876850043</v>
      </c>
      <c r="O43" s="6"/>
      <c r="P43" s="6">
        <f>F42*tpDcm*cDeath</f>
        <v>141.34232105916706</v>
      </c>
      <c r="Q43">
        <f>(F42*tpDcm*cDeath)/((1+cDR)^$A42)</f>
        <v>16.366476981736422</v>
      </c>
      <c r="R43" s="6">
        <f t="shared" si="2"/>
        <v>218.93219575023684</v>
      </c>
      <c r="U43" s="6">
        <f t="shared" si="13"/>
        <v>0.41133586157445734</v>
      </c>
      <c r="V43" s="6">
        <f t="shared" si="14"/>
        <v>2.2037826210886657</v>
      </c>
      <c r="W43" s="6">
        <f t="shared" si="15"/>
        <v>997.38488151733691</v>
      </c>
      <c r="Y43" s="6">
        <f t="shared" si="3"/>
        <v>2.6151184826631231</v>
      </c>
      <c r="Z43" s="6">
        <f t="shared" si="4"/>
        <v>2.043606034312234</v>
      </c>
      <c r="AA43" s="6">
        <f t="shared" si="5"/>
        <v>0.28567253594563652</v>
      </c>
      <c r="AB43" s="6">
        <f t="shared" si="6"/>
        <v>0.22324117326464787</v>
      </c>
      <c r="AD43" s="6">
        <f>(U43*(cAsymp+cDrug)+'Markov Model'!V43*cProg)/((1+cDR)^$A43)</f>
        <v>789.61682304625583</v>
      </c>
      <c r="AE43">
        <f t="shared" si="16"/>
        <v>55.131972446544204</v>
      </c>
      <c r="AF43" s="6">
        <f t="shared" si="7"/>
        <v>844.74879549280001</v>
      </c>
    </row>
    <row r="44" spans="1:32" x14ac:dyDescent="0.2">
      <c r="A44">
        <v>39</v>
      </c>
      <c r="C44">
        <f t="shared" si="0"/>
        <v>0.1958</v>
      </c>
      <c r="E44" s="6">
        <f t="shared" si="8"/>
        <v>6.5166385650172742E-4</v>
      </c>
      <c r="F44" s="6">
        <f t="shared" si="9"/>
        <v>0.40481128941242889</v>
      </c>
      <c r="G44" s="6">
        <f t="shared" si="10"/>
        <v>999.59453704673103</v>
      </c>
      <c r="I44" s="6">
        <f t="shared" si="11"/>
        <v>0.40546295326893061</v>
      </c>
      <c r="J44" s="6">
        <f t="shared" si="1"/>
        <v>0.30422754772299831</v>
      </c>
      <c r="K44" s="6">
        <f t="shared" si="12"/>
        <v>4.1785195072650418E-2</v>
      </c>
      <c r="L44" s="6">
        <f>(E44*uAsymp+F44*uProg)/((1+oDR)^$A44)</f>
        <v>3.1352327815873104E-2</v>
      </c>
      <c r="N44" s="6">
        <f>(E44*cAsymp+'Markov Model'!F44*cProg)/((1+cDR)^$A44)</f>
        <v>125.18769132563516</v>
      </c>
      <c r="O44" s="6"/>
      <c r="P44" s="6">
        <f>F43*tpDcm*cDeath</f>
        <v>92.677552642383432</v>
      </c>
      <c r="Q44">
        <f>(F43*tpDcm*cDeath)/((1+cDR)^$A43)</f>
        <v>10.123989281595941</v>
      </c>
      <c r="R44" s="6">
        <f t="shared" si="2"/>
        <v>135.3116806072311</v>
      </c>
      <c r="U44" s="6">
        <f t="shared" si="13"/>
        <v>0.25058580687118592</v>
      </c>
      <c r="V44" s="6">
        <f t="shared" si="14"/>
        <v>1.5219250837232243</v>
      </c>
      <c r="W44" s="6">
        <f t="shared" si="15"/>
        <v>998.22748910940561</v>
      </c>
      <c r="Y44" s="6">
        <f t="shared" si="3"/>
        <v>1.7725108905944102</v>
      </c>
      <c r="Z44" s="6">
        <f t="shared" si="4"/>
        <v>1.3795003293200447</v>
      </c>
      <c r="AA44" s="6">
        <f t="shared" si="5"/>
        <v>0.18266702971198456</v>
      </c>
      <c r="AB44" s="6">
        <f t="shared" si="6"/>
        <v>0.14216512235876458</v>
      </c>
      <c r="AD44" s="6">
        <f>(U44*(cAsymp+cDrug)+'Markov Model'!V44*cProg)/((1+cDR)^$A44)</f>
        <v>509.26471357513242</v>
      </c>
      <c r="AE44">
        <f t="shared" si="16"/>
        <v>36.110801912780119</v>
      </c>
      <c r="AF44" s="6">
        <f t="shared" si="7"/>
        <v>545.37551548791248</v>
      </c>
    </row>
    <row r="45" spans="1:32" x14ac:dyDescent="0.2">
      <c r="A45">
        <v>40</v>
      </c>
      <c r="C45">
        <f t="shared" si="0"/>
        <v>0.1958</v>
      </c>
      <c r="E45" s="6">
        <f t="shared" si="8"/>
        <v>2.6340253077705711E-4</v>
      </c>
      <c r="F45" s="6">
        <f t="shared" si="9"/>
        <v>0.26508821107621167</v>
      </c>
      <c r="G45" s="6">
        <f t="shared" si="10"/>
        <v>999.73464838639302</v>
      </c>
      <c r="I45" s="6">
        <f t="shared" si="11"/>
        <v>0.26535161360698872</v>
      </c>
      <c r="J45" s="6">
        <f t="shared" si="1"/>
        <v>0.19906639071139698</v>
      </c>
      <c r="K45" s="6">
        <f t="shared" si="12"/>
        <v>2.5798064386853507E-2</v>
      </c>
      <c r="L45" s="6">
        <f>(E45*uAsymp+F45*uProg)/((1+oDR)^$A45)</f>
        <v>1.9353670004198152E-2</v>
      </c>
      <c r="N45" s="6">
        <f>(E45*cAsymp+'Markov Model'!F45*cProg)/((1+cDR)^$A45)</f>
        <v>77.330171734835261</v>
      </c>
      <c r="O45" s="6"/>
      <c r="P45" s="6">
        <f>F44*tpDcm*cDeath</f>
        <v>60.721693411864329</v>
      </c>
      <c r="Q45">
        <f>(F44*tpDcm*cDeath)/((1+cDR)^$A44)</f>
        <v>6.2577056273585967</v>
      </c>
      <c r="R45" s="6">
        <f t="shared" si="2"/>
        <v>83.587877362193865</v>
      </c>
      <c r="U45" s="6">
        <f t="shared" si="13"/>
        <v>0.15140394451157135</v>
      </c>
      <c r="V45" s="6">
        <f t="shared" si="14"/>
        <v>1.0457605511459707</v>
      </c>
      <c r="W45" s="6">
        <f t="shared" si="15"/>
        <v>998.80283550434251</v>
      </c>
      <c r="Y45" s="6">
        <f t="shared" si="3"/>
        <v>1.197164495657542</v>
      </c>
      <c r="Z45" s="6">
        <f t="shared" si="4"/>
        <v>0.92815416064547074</v>
      </c>
      <c r="AA45" s="6">
        <f t="shared" si="5"/>
        <v>0.11639095131477598</v>
      </c>
      <c r="AB45" s="6">
        <f t="shared" si="6"/>
        <v>9.0237178028704415E-2</v>
      </c>
      <c r="AD45" s="6">
        <f>(U45*(cAsymp+cDrug)+'Markov Model'!V45*cProg)/((1+cDR)^$A45)</f>
        <v>327.09311987465975</v>
      </c>
      <c r="AE45">
        <f t="shared" si="16"/>
        <v>23.526416900715557</v>
      </c>
      <c r="AF45" s="6">
        <f t="shared" si="7"/>
        <v>350.61953677537531</v>
      </c>
    </row>
    <row r="46" spans="1:32" x14ac:dyDescent="0.2">
      <c r="A46">
        <v>41</v>
      </c>
      <c r="C46">
        <f t="shared" si="0"/>
        <v>0.1958</v>
      </c>
      <c r="E46" s="6">
        <f t="shared" si="8"/>
        <v>1.0383327753515914E-4</v>
      </c>
      <c r="F46" s="6">
        <f t="shared" si="9"/>
        <v>0.17352870272367626</v>
      </c>
      <c r="G46" s="6">
        <f t="shared" si="10"/>
        <v>999.82636746399874</v>
      </c>
      <c r="I46" s="6">
        <f t="shared" si="11"/>
        <v>0.17363253600121142</v>
      </c>
      <c r="J46" s="6">
        <f t="shared" si="1"/>
        <v>0.13024516865641561</v>
      </c>
      <c r="K46" s="6">
        <f t="shared" si="12"/>
        <v>1.5925410384352485E-2</v>
      </c>
      <c r="L46" s="6">
        <f>(E46*uAsymp+F46*uProg)/((1+oDR)^$A46)</f>
        <v>1.1945962486075481E-2</v>
      </c>
      <c r="N46" s="6">
        <f>(E46*cAsymp+'Markov Model'!F46*cProg)/((1+cDR)^$A46)</f>
        <v>47.752422430418505</v>
      </c>
      <c r="O46" s="6"/>
      <c r="P46" s="6">
        <f>F45*tpDcm*cDeath</f>
        <v>39.763231661431746</v>
      </c>
      <c r="Q46">
        <f>(F45*tpDcm*cDeath)/((1+cDR)^$A45)</f>
        <v>3.8658683724845102</v>
      </c>
      <c r="R46" s="6">
        <f t="shared" si="2"/>
        <v>51.618290802903019</v>
      </c>
      <c r="U46" s="6">
        <f t="shared" si="13"/>
        <v>9.0721243551229236E-2</v>
      </c>
      <c r="V46" s="6">
        <f t="shared" si="14"/>
        <v>0.71517436118456612</v>
      </c>
      <c r="W46" s="6">
        <f t="shared" si="15"/>
        <v>999.19410439526416</v>
      </c>
      <c r="Y46" s="6">
        <f t="shared" si="3"/>
        <v>0.80589560473579536</v>
      </c>
      <c r="Z46" s="6">
        <f t="shared" si="4"/>
        <v>0.62256595226209244</v>
      </c>
      <c r="AA46" s="6">
        <f t="shared" si="5"/>
        <v>7.3915975242531254E-2</v>
      </c>
      <c r="AB46" s="6">
        <f t="shared" si="6"/>
        <v>5.7101154595990272E-2</v>
      </c>
      <c r="AD46" s="6">
        <f>(U46*(cAsymp+cDrug)+'Markov Model'!V46*cProg)/((1+cDR)^$A46)</f>
        <v>209.26662699690507</v>
      </c>
      <c r="AE46">
        <f t="shared" si="16"/>
        <v>15.25066929024957</v>
      </c>
      <c r="AF46" s="6">
        <f t="shared" si="7"/>
        <v>224.51729628715464</v>
      </c>
    </row>
    <row r="47" spans="1:32" x14ac:dyDescent="0.2">
      <c r="A47">
        <v>42</v>
      </c>
      <c r="C47">
        <f t="shared" si="0"/>
        <v>0.1958</v>
      </c>
      <c r="E47" s="6">
        <f t="shared" si="8"/>
        <v>3.9892745235192706E-5</v>
      </c>
      <c r="F47" s="6">
        <f t="shared" si="9"/>
        <v>0.11356608729839379</v>
      </c>
      <c r="G47" s="6">
        <f t="shared" si="10"/>
        <v>999.88639401995636</v>
      </c>
      <c r="I47" s="6">
        <f t="shared" si="11"/>
        <v>0.11360598004362898</v>
      </c>
      <c r="J47" s="6">
        <f t="shared" si="1"/>
        <v>8.5212463581768774E-2</v>
      </c>
      <c r="K47" s="6">
        <f t="shared" si="12"/>
        <v>9.8300301856625461E-3</v>
      </c>
      <c r="L47" s="6">
        <f>(E47*uAsymp+F47*uProg)/((1+oDR)^$A47)</f>
        <v>7.3732130023593098E-3</v>
      </c>
      <c r="N47" s="6">
        <f>(E47*cAsymp+'Markov Model'!F47*cProg)/((1+cDR)^$A47)</f>
        <v>29.481461018082637</v>
      </c>
      <c r="O47" s="6"/>
      <c r="P47" s="6">
        <f>F46*tpDcm*cDeath</f>
        <v>26.029305408551437</v>
      </c>
      <c r="Q47">
        <f>(F46*tpDcm*cDeath)/((1+cDR)^$A46)</f>
        <v>2.3873830342945359</v>
      </c>
      <c r="R47" s="6">
        <f t="shared" si="2"/>
        <v>31.868844052377174</v>
      </c>
      <c r="U47" s="6">
        <f t="shared" si="13"/>
        <v>5.3906562918200507E-2</v>
      </c>
      <c r="V47" s="6">
        <f t="shared" si="14"/>
        <v>0.48691852823270126</v>
      </c>
      <c r="W47" s="6">
        <f t="shared" si="15"/>
        <v>999.45917490884915</v>
      </c>
      <c r="Y47" s="6">
        <f t="shared" si="3"/>
        <v>0.54082509115090183</v>
      </c>
      <c r="Z47" s="6">
        <f t="shared" si="4"/>
        <v>0.41640013094681638</v>
      </c>
      <c r="AA47" s="6">
        <f t="shared" si="5"/>
        <v>4.679618950635691E-2</v>
      </c>
      <c r="AB47" s="6">
        <f t="shared" si="6"/>
        <v>3.603002108647E-2</v>
      </c>
      <c r="AD47" s="6">
        <f>(U47*(cAsymp+cDrug)+'Markov Model'!V47*cProg)/((1+cDR)^$A47)</f>
        <v>133.39197634380329</v>
      </c>
      <c r="AE47">
        <f t="shared" si="16"/>
        <v>9.8392664133108205</v>
      </c>
      <c r="AF47" s="6">
        <f t="shared" si="7"/>
        <v>143.2312427571141</v>
      </c>
    </row>
    <row r="48" spans="1:32" x14ac:dyDescent="0.2">
      <c r="A48">
        <v>43</v>
      </c>
      <c r="C48">
        <f t="shared" si="0"/>
        <v>0.1958</v>
      </c>
      <c r="E48" s="6">
        <f t="shared" si="8"/>
        <v>1.4927865208846924E-5</v>
      </c>
      <c r="F48" s="6">
        <f t="shared" si="9"/>
        <v>7.431208819106036E-2</v>
      </c>
      <c r="G48" s="6">
        <f t="shared" si="10"/>
        <v>999.92567298394374</v>
      </c>
      <c r="I48" s="6">
        <f t="shared" si="11"/>
        <v>7.4327016056269207E-2</v>
      </c>
      <c r="J48" s="6">
        <f t="shared" si="1"/>
        <v>5.5748247615243676E-2</v>
      </c>
      <c r="K48" s="6">
        <f t="shared" si="12"/>
        <v>6.0672863394242499E-3</v>
      </c>
      <c r="L48" s="6">
        <f>(E48*uAsymp+F48*uProg)/((1+oDR)^$A48)</f>
        <v>4.5507084657716345E-3</v>
      </c>
      <c r="N48" s="6">
        <f>(E48*cAsymp+'Markov Model'!F48*cProg)/((1+cDR)^$A48)</f>
        <v>18.198812628229668</v>
      </c>
      <c r="O48" s="6"/>
      <c r="P48" s="6">
        <f>F47*tpDcm*cDeath</f>
        <v>17.034913094759066</v>
      </c>
      <c r="Q48">
        <f>(F47*tpDcm*cDeath)/((1+cDR)^$A47)</f>
        <v>1.4739867555150816</v>
      </c>
      <c r="R48" s="6">
        <f t="shared" si="2"/>
        <v>19.672799383744749</v>
      </c>
      <c r="U48" s="6">
        <f t="shared" si="13"/>
        <v>3.1761746871325158E-2</v>
      </c>
      <c r="V48" s="6">
        <f t="shared" si="14"/>
        <v>0.33013201219724631</v>
      </c>
      <c r="W48" s="6">
        <f t="shared" si="15"/>
        <v>999.63810624093139</v>
      </c>
      <c r="Y48" s="6">
        <f t="shared" si="3"/>
        <v>0.36189375906857146</v>
      </c>
      <c r="Z48" s="6">
        <f t="shared" si="4"/>
        <v>0.27777266867569361</v>
      </c>
      <c r="AA48" s="6">
        <f t="shared" si="5"/>
        <v>2.9541251313753424E-2</v>
      </c>
      <c r="AB48" s="6">
        <f t="shared" si="6"/>
        <v>2.2674478373322281E-2</v>
      </c>
      <c r="AD48" s="6">
        <f>(U48*(cAsymp+cDrug)+'Markov Model'!V48*cProg)/((1+cDR)^$A48)</f>
        <v>84.734704781206148</v>
      </c>
      <c r="AE48">
        <f t="shared" si="16"/>
        <v>6.3197692084267922</v>
      </c>
      <c r="AF48" s="6">
        <f t="shared" si="7"/>
        <v>91.054473989632939</v>
      </c>
    </row>
    <row r="49" spans="1:32" x14ac:dyDescent="0.2">
      <c r="A49">
        <v>44</v>
      </c>
      <c r="C49">
        <f t="shared" si="0"/>
        <v>0.1958</v>
      </c>
      <c r="E49" s="6">
        <f t="shared" si="8"/>
        <v>5.4367285429179901E-6</v>
      </c>
      <c r="F49" s="6">
        <f t="shared" si="9"/>
        <v>4.862153635528358E-2</v>
      </c>
      <c r="G49" s="6">
        <f t="shared" si="10"/>
        <v>999.95137302691614</v>
      </c>
      <c r="I49" s="6">
        <f t="shared" si="11"/>
        <v>4.8626973083826498E-2</v>
      </c>
      <c r="J49" s="6">
        <f t="shared" si="1"/>
        <v>3.6471317158578459E-2</v>
      </c>
      <c r="K49" s="6">
        <f t="shared" si="12"/>
        <v>3.744718402506314E-3</v>
      </c>
      <c r="L49" s="6">
        <f>(E49*uAsymp+F49*uProg)/((1+oDR)^$A49)</f>
        <v>2.8086225373711018E-3</v>
      </c>
      <c r="N49" s="6">
        <f>(E49*cAsymp+'Markov Model'!F49*cProg)/((1+cDR)^$A49)</f>
        <v>11.233108513876866</v>
      </c>
      <c r="O49" s="6"/>
      <c r="P49" s="6">
        <f>F48*tpDcm*cDeath</f>
        <v>11.146813228659054</v>
      </c>
      <c r="Q49">
        <f>(F48*tpDcm*cDeath)/((1+cDR)^$A48)</f>
        <v>0.90991016751105247</v>
      </c>
      <c r="R49" s="6">
        <f t="shared" si="2"/>
        <v>12.143018681387918</v>
      </c>
      <c r="U49" s="6">
        <f t="shared" si="13"/>
        <v>1.855521252230119E-2</v>
      </c>
      <c r="V49" s="6">
        <f t="shared" si="14"/>
        <v>0.22295994669113006</v>
      </c>
      <c r="W49" s="6">
        <f t="shared" si="15"/>
        <v>999.75848484078654</v>
      </c>
      <c r="Y49" s="6">
        <f t="shared" si="3"/>
        <v>0.24151515921343125</v>
      </c>
      <c r="Z49" s="6">
        <f t="shared" si="4"/>
        <v>0.18484741191453369</v>
      </c>
      <c r="AA49" s="6">
        <f t="shared" si="5"/>
        <v>1.8598859929687604E-2</v>
      </c>
      <c r="AB49" s="6">
        <f t="shared" si="6"/>
        <v>1.4234928911959108E-2</v>
      </c>
      <c r="AD49" s="6">
        <f>(U49*(cAsymp+cDrug)+'Markov Model'!V49*cProg)/((1+cDR)^$A49)</f>
        <v>53.653200053862278</v>
      </c>
      <c r="AE49">
        <f t="shared" si="16"/>
        <v>4.042282781057601</v>
      </c>
      <c r="AF49" s="6">
        <f t="shared" si="7"/>
        <v>57.695482834919879</v>
      </c>
    </row>
    <row r="50" spans="1:32" x14ac:dyDescent="0.2">
      <c r="A50">
        <v>45</v>
      </c>
      <c r="C50">
        <f t="shared" si="0"/>
        <v>0.1958</v>
      </c>
      <c r="E50" s="6">
        <f t="shared" si="8"/>
        <v>1.9256892755947774E-6</v>
      </c>
      <c r="F50" s="6">
        <f t="shared" si="9"/>
        <v>3.1810655611470832E-2</v>
      </c>
      <c r="G50" s="6">
        <f t="shared" si="10"/>
        <v>999.96818741869924</v>
      </c>
      <c r="I50" s="6">
        <f t="shared" si="11"/>
        <v>3.1812581300746427E-2</v>
      </c>
      <c r="J50" s="6">
        <f t="shared" si="1"/>
        <v>2.3859821113414937E-2</v>
      </c>
      <c r="K50" s="6">
        <f t="shared" si="12"/>
        <v>2.3111863967359755E-3</v>
      </c>
      <c r="L50" s="6">
        <f>(E50*uAsymp+F50*uProg)/((1+oDR)^$A50)</f>
        <v>1.7334177778457903E-3</v>
      </c>
      <c r="N50" s="6">
        <f>(E50*cAsymp+'Markov Model'!F50*cProg)/((1+cDR)^$A50)</f>
        <v>6.9332094365353125</v>
      </c>
      <c r="O50" s="6"/>
      <c r="P50" s="6">
        <f>F49*tpDcm*cDeath</f>
        <v>7.2932304532925363</v>
      </c>
      <c r="Q50">
        <f>(F49*tpDcm*cDeath)/((1+cDR)^$A49)</f>
        <v>0.56164495875742249</v>
      </c>
      <c r="R50" s="6">
        <f t="shared" si="2"/>
        <v>7.4948543952927347</v>
      </c>
      <c r="U50" s="6">
        <f t="shared" si="13"/>
        <v>1.0747179092959414E-2</v>
      </c>
      <c r="V50" s="6">
        <f t="shared" si="14"/>
        <v>0.15003531994285507</v>
      </c>
      <c r="W50" s="6">
        <f t="shared" si="15"/>
        <v>999.8392175009642</v>
      </c>
      <c r="Y50" s="6">
        <f t="shared" si="3"/>
        <v>0.16078249903581449</v>
      </c>
      <c r="Z50" s="6">
        <f t="shared" si="4"/>
        <v>0.12273631009545274</v>
      </c>
      <c r="AA50" s="6">
        <f t="shared" si="5"/>
        <v>1.1680860508985815E-2</v>
      </c>
      <c r="AB50" s="6">
        <f t="shared" si="6"/>
        <v>8.9168020537686767E-3</v>
      </c>
      <c r="AD50" s="6">
        <f>(U50*(cAsymp+cDrug)+'Markov Model'!V50*cProg)/((1+cDR)^$A50)</f>
        <v>33.87140648673757</v>
      </c>
      <c r="AE50">
        <f t="shared" si="16"/>
        <v>2.5754910159330877</v>
      </c>
      <c r="AF50" s="6">
        <f t="shared" si="7"/>
        <v>36.446897502670659</v>
      </c>
    </row>
    <row r="52" spans="1:32" x14ac:dyDescent="0.2">
      <c r="H52" t="s">
        <v>51</v>
      </c>
      <c r="I52" s="6">
        <f>SUM(I5:I50)</f>
        <v>13693.245079326403</v>
      </c>
      <c r="J52" s="6">
        <f>SUM(J6:J50)</f>
        <v>12202.612124349125</v>
      </c>
      <c r="K52" s="6">
        <f>SUM(K5:K50)</f>
        <v>8560.1724481610272</v>
      </c>
      <c r="L52" s="6">
        <f>SUM(L5:L50)</f>
        <v>7755.9516801447353</v>
      </c>
      <c r="N52">
        <f>SUM(N5:N50)</f>
        <v>8982738.0441834945</v>
      </c>
      <c r="Q52" s="6">
        <f>SUM(Q5:Q50)</f>
        <v>282158.76254920464</v>
      </c>
      <c r="R52">
        <f>SUM(R5:R50)</f>
        <v>9264896.806732703</v>
      </c>
      <c r="X52" t="s">
        <v>51</v>
      </c>
      <c r="Y52" s="6">
        <f>SUM(Y5:Y50)</f>
        <v>15860.229143787126</v>
      </c>
      <c r="Z52" s="6">
        <f>SUM(Z6:Z50)</f>
        <v>14446.439325758052</v>
      </c>
      <c r="AA52" s="6">
        <f>SUM(AA5:AA50)</f>
        <v>9350.4181283309372</v>
      </c>
      <c r="AB52" s="6">
        <f>SUM(AB5:AB50)</f>
        <v>8624.7378423777318</v>
      </c>
      <c r="AD52">
        <f>SUM(AD5:AD50)</f>
        <v>15961822.539021384</v>
      </c>
      <c r="AE52" s="6">
        <f>SUM(AE5:AE50)</f>
        <v>193617.89964092497</v>
      </c>
      <c r="AF52">
        <f>SUM(AF5:AF50)</f>
        <v>16155440.438662307</v>
      </c>
    </row>
    <row r="53" spans="1:32" x14ac:dyDescent="0.2">
      <c r="H53" t="s">
        <v>52</v>
      </c>
      <c r="I53" s="8">
        <f>I52/1000</f>
        <v>13.693245079326404</v>
      </c>
      <c r="J53" s="8">
        <f t="shared" ref="J53:R53" si="17">J52/1000</f>
        <v>12.202612124349125</v>
      </c>
      <c r="K53" s="8">
        <f t="shared" si="17"/>
        <v>8.560172448161028</v>
      </c>
      <c r="L53" s="8">
        <f t="shared" si="17"/>
        <v>7.7559516801447357</v>
      </c>
      <c r="M53" s="6"/>
      <c r="N53" s="6">
        <f t="shared" si="17"/>
        <v>8982.7380441834939</v>
      </c>
      <c r="O53" s="6"/>
      <c r="P53" s="6"/>
      <c r="Q53" s="6">
        <f t="shared" si="17"/>
        <v>282.15876254920465</v>
      </c>
      <c r="R53" s="6">
        <f t="shared" si="17"/>
        <v>9264.8968067327023</v>
      </c>
      <c r="X53" t="s">
        <v>52</v>
      </c>
      <c r="Y53" s="8">
        <f>Y52/1000</f>
        <v>15.860229143787127</v>
      </c>
      <c r="Z53" s="8">
        <f>Z52/1000</f>
        <v>14.446439325758051</v>
      </c>
      <c r="AA53" s="8">
        <f>AA52/1000</f>
        <v>9.3504181283309364</v>
      </c>
      <c r="AB53" s="8">
        <f>AB52/1000</f>
        <v>8.6247378423777317</v>
      </c>
      <c r="AC53" s="6"/>
      <c r="AD53" s="6">
        <f>AD52/1000</f>
        <v>15961.822539021385</v>
      </c>
      <c r="AE53" s="6">
        <f>AE52/1000</f>
        <v>193.61789964092497</v>
      </c>
      <c r="AF53" s="6">
        <f>AF52/1000</f>
        <v>16155.440438662308</v>
      </c>
    </row>
    <row r="59" spans="1:32" x14ac:dyDescent="0.2">
      <c r="A59" t="s">
        <v>29</v>
      </c>
      <c r="B59" t="s">
        <v>30</v>
      </c>
      <c r="C59" t="s">
        <v>31</v>
      </c>
    </row>
    <row r="60" spans="1:32" x14ac:dyDescent="0.2">
      <c r="A60" t="s">
        <v>53</v>
      </c>
      <c r="B60" s="5">
        <f>R53</f>
        <v>9264.8968067327023</v>
      </c>
      <c r="C60" s="8">
        <f>L53</f>
        <v>7.7559516801447357</v>
      </c>
    </row>
    <row r="61" spans="1:32" x14ac:dyDescent="0.2">
      <c r="A61" t="s">
        <v>54</v>
      </c>
      <c r="B61" s="5">
        <f>AF53</f>
        <v>16155.440438662308</v>
      </c>
      <c r="C61" s="8">
        <f>AB53</f>
        <v>8.6247378423777317</v>
      </c>
    </row>
    <row r="62" spans="1:32" x14ac:dyDescent="0.2">
      <c r="A62" t="s">
        <v>56</v>
      </c>
      <c r="B62" s="5">
        <f>B61-B60</f>
        <v>6890.5436319296059</v>
      </c>
      <c r="C62" s="8">
        <f>C61-C60</f>
        <v>0.86878616223299598</v>
      </c>
    </row>
    <row r="63" spans="1:32" x14ac:dyDescent="0.2">
      <c r="A63" t="s">
        <v>55</v>
      </c>
      <c r="B63" s="5">
        <f>B62/C62</f>
        <v>7931.2308729908855</v>
      </c>
    </row>
    <row r="69" spans="1:9" x14ac:dyDescent="0.2">
      <c r="A69">
        <v>1</v>
      </c>
      <c r="B69">
        <v>500</v>
      </c>
      <c r="C69">
        <v>0.95</v>
      </c>
      <c r="D69" s="6">
        <f t="shared" ref="D69:D89" si="18">B69/(1+cDR)^A69</f>
        <v>471.69811320754712</v>
      </c>
      <c r="E69" s="8">
        <f>C69/(1+oDR)^A69</f>
        <v>0.89622641509433953</v>
      </c>
      <c r="F69">
        <v>500</v>
      </c>
      <c r="G69">
        <v>0.95</v>
      </c>
      <c r="H69" s="6">
        <f>F69/(1+cDR)^A69</f>
        <v>471.69811320754712</v>
      </c>
      <c r="I69" s="8">
        <f t="shared" ref="I69:I74" si="19">G69/(1+oDR)^A69</f>
        <v>0.89622641509433953</v>
      </c>
    </row>
    <row r="70" spans="1:9" x14ac:dyDescent="0.2">
      <c r="A70">
        <v>2</v>
      </c>
      <c r="B70">
        <v>500</v>
      </c>
      <c r="C70">
        <v>0.95</v>
      </c>
      <c r="D70" s="6">
        <f t="shared" si="18"/>
        <v>444.99822000711993</v>
      </c>
      <c r="E70" s="8">
        <f t="shared" ref="E70:E88" si="20">C70/(1+oDR)^A70</f>
        <v>0.84549661801352782</v>
      </c>
      <c r="F70">
        <v>500</v>
      </c>
      <c r="G70">
        <v>0.95</v>
      </c>
      <c r="H70" s="6">
        <f t="shared" ref="H70:H75" si="21">F70/(1+cDR)^A70</f>
        <v>444.99822000711993</v>
      </c>
      <c r="I70" s="8">
        <f t="shared" si="19"/>
        <v>0.84549661801352782</v>
      </c>
    </row>
    <row r="71" spans="1:9" x14ac:dyDescent="0.2">
      <c r="A71">
        <v>3</v>
      </c>
      <c r="B71">
        <v>500</v>
      </c>
      <c r="C71">
        <v>0.95</v>
      </c>
      <c r="D71" s="6">
        <f t="shared" si="18"/>
        <v>419.8096415161508</v>
      </c>
      <c r="E71" s="8">
        <f t="shared" si="20"/>
        <v>0.79763831888068648</v>
      </c>
      <c r="F71">
        <v>500</v>
      </c>
      <c r="G71">
        <v>0.95</v>
      </c>
      <c r="H71" s="6">
        <f t="shared" si="21"/>
        <v>419.8096415161508</v>
      </c>
      <c r="I71" s="8">
        <f t="shared" si="19"/>
        <v>0.79763831888068648</v>
      </c>
    </row>
    <row r="72" spans="1:9" x14ac:dyDescent="0.2">
      <c r="A72">
        <v>4</v>
      </c>
      <c r="B72">
        <v>500</v>
      </c>
      <c r="C72">
        <v>0.95</v>
      </c>
      <c r="D72" s="6">
        <f t="shared" si="18"/>
        <v>396.04683161901022</v>
      </c>
      <c r="E72" s="8">
        <f t="shared" si="20"/>
        <v>0.75248898007611931</v>
      </c>
      <c r="F72">
        <v>500</v>
      </c>
      <c r="G72">
        <v>0.95</v>
      </c>
      <c r="H72" s="6">
        <f t="shared" si="21"/>
        <v>396.04683161901022</v>
      </c>
      <c r="I72" s="8">
        <f t="shared" si="19"/>
        <v>0.75248898007611931</v>
      </c>
    </row>
    <row r="73" spans="1:9" x14ac:dyDescent="0.2">
      <c r="A73">
        <v>5</v>
      </c>
      <c r="B73">
        <v>500</v>
      </c>
      <c r="C73">
        <v>0.95</v>
      </c>
      <c r="D73" s="6">
        <f t="shared" si="18"/>
        <v>373.62908643302842</v>
      </c>
      <c r="E73" s="8">
        <f t="shared" si="20"/>
        <v>0.70989526422275406</v>
      </c>
      <c r="F73">
        <v>500</v>
      </c>
      <c r="G73">
        <v>0.95</v>
      </c>
      <c r="H73" s="6">
        <f t="shared" si="21"/>
        <v>373.62908643302842</v>
      </c>
      <c r="I73" s="8">
        <f t="shared" si="19"/>
        <v>0.70989526422275406</v>
      </c>
    </row>
    <row r="74" spans="1:9" x14ac:dyDescent="0.2">
      <c r="A74">
        <v>6</v>
      </c>
      <c r="B74">
        <v>500</v>
      </c>
      <c r="C74">
        <v>0.95</v>
      </c>
      <c r="D74" s="6">
        <f t="shared" si="18"/>
        <v>352.48027021983813</v>
      </c>
      <c r="E74" s="8">
        <f t="shared" si="20"/>
        <v>0.66971251341769245</v>
      </c>
      <c r="F74">
        <v>3000</v>
      </c>
      <c r="G74">
        <v>0.75</v>
      </c>
      <c r="H74" s="6">
        <f t="shared" si="21"/>
        <v>2114.8816213190289</v>
      </c>
      <c r="I74" s="8">
        <f t="shared" si="19"/>
        <v>0.52872040532975717</v>
      </c>
    </row>
    <row r="75" spans="1:9" x14ac:dyDescent="0.2">
      <c r="A75">
        <v>7</v>
      </c>
      <c r="B75">
        <v>500</v>
      </c>
      <c r="C75">
        <v>0.95</v>
      </c>
      <c r="D75" s="6">
        <f t="shared" si="18"/>
        <v>332.52855681116802</v>
      </c>
      <c r="E75" s="8">
        <f t="shared" si="20"/>
        <v>0.63180425794121919</v>
      </c>
      <c r="F75">
        <v>1000</v>
      </c>
      <c r="H75" s="6">
        <f t="shared" si="21"/>
        <v>665.05711362233603</v>
      </c>
    </row>
    <row r="76" spans="1:9" x14ac:dyDescent="0.2">
      <c r="A76">
        <v>8</v>
      </c>
      <c r="B76">
        <v>500</v>
      </c>
      <c r="C76">
        <v>0.95</v>
      </c>
      <c r="D76" s="6">
        <f t="shared" si="18"/>
        <v>313.70618567091327</v>
      </c>
      <c r="E76" s="8">
        <f t="shared" si="20"/>
        <v>0.59604175277473515</v>
      </c>
      <c r="H76" s="6">
        <f>SUM(H69:H75)</f>
        <v>4886.1206277242209</v>
      </c>
      <c r="I76" s="8">
        <f>SUM(I69:I75)</f>
        <v>4.5304660016171843</v>
      </c>
    </row>
    <row r="77" spans="1:9" x14ac:dyDescent="0.2">
      <c r="A77">
        <v>9</v>
      </c>
      <c r="B77">
        <v>500</v>
      </c>
      <c r="C77">
        <v>0.95</v>
      </c>
      <c r="D77" s="6">
        <f t="shared" si="18"/>
        <v>295.94923176501248</v>
      </c>
      <c r="E77" s="8">
        <f t="shared" si="20"/>
        <v>0.5623035403535237</v>
      </c>
    </row>
    <row r="78" spans="1:9" x14ac:dyDescent="0.2">
      <c r="A78">
        <v>10</v>
      </c>
      <c r="B78">
        <v>500</v>
      </c>
      <c r="C78">
        <v>0.95</v>
      </c>
      <c r="D78" s="6">
        <f t="shared" si="18"/>
        <v>279.19738845755893</v>
      </c>
      <c r="E78" s="8">
        <f t="shared" si="20"/>
        <v>0.53047503806936191</v>
      </c>
    </row>
    <row r="79" spans="1:9" x14ac:dyDescent="0.2">
      <c r="A79">
        <v>11</v>
      </c>
      <c r="B79">
        <v>500</v>
      </c>
      <c r="C79">
        <v>0.95</v>
      </c>
      <c r="D79" s="6">
        <f t="shared" si="18"/>
        <v>263.39376269581027</v>
      </c>
      <c r="E79" s="8">
        <f t="shared" si="20"/>
        <v>0.5004481491220395</v>
      </c>
    </row>
    <row r="80" spans="1:9" x14ac:dyDescent="0.2">
      <c r="A80">
        <v>12</v>
      </c>
      <c r="B80">
        <v>500</v>
      </c>
      <c r="C80">
        <v>0.95</v>
      </c>
      <c r="D80" s="6">
        <f t="shared" si="18"/>
        <v>248.48468178850024</v>
      </c>
      <c r="E80" s="8">
        <f t="shared" si="20"/>
        <v>0.47212089539815044</v>
      </c>
    </row>
    <row r="81" spans="1:5" x14ac:dyDescent="0.2">
      <c r="A81">
        <v>13</v>
      </c>
      <c r="B81">
        <v>500</v>
      </c>
      <c r="C81">
        <v>0.95</v>
      </c>
      <c r="D81" s="6">
        <f t="shared" si="18"/>
        <v>234.41951112122663</v>
      </c>
      <c r="E81" s="8">
        <f t="shared" si="20"/>
        <v>0.44539707113033056</v>
      </c>
    </row>
    <row r="82" spans="1:5" x14ac:dyDescent="0.2">
      <c r="A82">
        <v>14</v>
      </c>
      <c r="B82">
        <v>500</v>
      </c>
      <c r="C82">
        <v>0.95</v>
      </c>
      <c r="D82" s="6">
        <f t="shared" si="18"/>
        <v>221.15048218983645</v>
      </c>
      <c r="E82" s="8">
        <f t="shared" si="20"/>
        <v>0.42018591616068923</v>
      </c>
    </row>
    <row r="83" spans="1:5" x14ac:dyDescent="0.2">
      <c r="A83">
        <v>15</v>
      </c>
      <c r="B83">
        <v>500</v>
      </c>
      <c r="C83">
        <v>0.75</v>
      </c>
      <c r="D83" s="6">
        <f t="shared" si="18"/>
        <v>208.63253036777019</v>
      </c>
      <c r="E83" s="8">
        <f t="shared" si="20"/>
        <v>0.31294879555165528</v>
      </c>
    </row>
    <row r="84" spans="1:5" x14ac:dyDescent="0.2">
      <c r="A84">
        <v>16</v>
      </c>
      <c r="B84">
        <v>3000</v>
      </c>
      <c r="C84">
        <v>0.75</v>
      </c>
      <c r="D84" s="6">
        <f t="shared" si="18"/>
        <v>1180.938851138322</v>
      </c>
      <c r="E84" s="8">
        <f t="shared" si="20"/>
        <v>0.29523471278458052</v>
      </c>
    </row>
    <row r="85" spans="1:5" x14ac:dyDescent="0.2">
      <c r="A85">
        <v>17</v>
      </c>
      <c r="B85">
        <v>3000</v>
      </c>
      <c r="C85">
        <v>0.75</v>
      </c>
      <c r="D85" s="6">
        <f t="shared" si="18"/>
        <v>1114.0932557908698</v>
      </c>
      <c r="E85" s="8">
        <f t="shared" si="20"/>
        <v>0.27852331394771745</v>
      </c>
    </row>
    <row r="86" spans="1:5" x14ac:dyDescent="0.2">
      <c r="A86">
        <v>18</v>
      </c>
      <c r="B86">
        <v>3000</v>
      </c>
      <c r="C86">
        <v>0.75</v>
      </c>
      <c r="D86" s="6">
        <f t="shared" si="18"/>
        <v>1051.031373387613</v>
      </c>
      <c r="E86" s="8">
        <f t="shared" si="20"/>
        <v>0.26275784334690322</v>
      </c>
    </row>
    <row r="87" spans="1:5" x14ac:dyDescent="0.2">
      <c r="A87">
        <v>19</v>
      </c>
      <c r="B87">
        <v>3000</v>
      </c>
      <c r="C87">
        <v>0.75</v>
      </c>
      <c r="D87" s="6">
        <f t="shared" si="18"/>
        <v>991.53903149774794</v>
      </c>
      <c r="E87" s="8">
        <f t="shared" si="20"/>
        <v>0.24788475787443701</v>
      </c>
    </row>
    <row r="88" spans="1:5" x14ac:dyDescent="0.2">
      <c r="A88">
        <v>20</v>
      </c>
      <c r="B88">
        <v>3000</v>
      </c>
      <c r="C88">
        <v>0.75</v>
      </c>
      <c r="D88" s="6">
        <f t="shared" si="18"/>
        <v>935.4141806582528</v>
      </c>
      <c r="E88" s="8">
        <f t="shared" si="20"/>
        <v>0.23385354516456322</v>
      </c>
    </row>
    <row r="89" spans="1:5" x14ac:dyDescent="0.2">
      <c r="A89">
        <v>21</v>
      </c>
      <c r="B89">
        <v>1000</v>
      </c>
      <c r="D89" s="6">
        <f t="shared" si="18"/>
        <v>294.15540272272096</v>
      </c>
    </row>
    <row r="90" spans="1:5" x14ac:dyDescent="0.2">
      <c r="D90" s="6">
        <f>SUM(D69:D89)</f>
        <v>10423.296589066018</v>
      </c>
      <c r="E90" s="8">
        <f>SUM(E69:E89)</f>
        <v>10.461437699325028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</sheetPr>
  <dimension ref="B1:X21"/>
  <sheetViews>
    <sheetView showGridLines="0" workbookViewId="0"/>
  </sheetViews>
  <sheetFormatPr defaultRowHeight="12.75" outlineLevelRow="1" outlineLevelCol="1" x14ac:dyDescent="0.2"/>
  <cols>
    <col min="3" max="3" width="8.7109375" customWidth="1"/>
    <col min="4" max="24" width="12" bestFit="1" customWidth="1" outlineLevel="1"/>
  </cols>
  <sheetData>
    <row r="1" spans="2:24" ht="13.5" thickBot="1" x14ac:dyDescent="0.25"/>
    <row r="2" spans="2:24" ht="15" x14ac:dyDescent="0.25">
      <c r="B2" s="14" t="s">
        <v>84</v>
      </c>
      <c r="C2" s="14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</row>
    <row r="3" spans="2:24" ht="15" collapsed="1" x14ac:dyDescent="0.25">
      <c r="B3" s="13"/>
      <c r="C3" s="13"/>
      <c r="D3" s="20" t="s">
        <v>86</v>
      </c>
      <c r="E3" s="20" t="s">
        <v>64</v>
      </c>
      <c r="F3" s="20" t="s">
        <v>66</v>
      </c>
      <c r="G3" s="20" t="s">
        <v>68</v>
      </c>
      <c r="H3" s="20" t="s">
        <v>69</v>
      </c>
      <c r="I3" s="20" t="s">
        <v>70</v>
      </c>
      <c r="J3" s="20" t="s">
        <v>71</v>
      </c>
      <c r="K3" s="20" t="s">
        <v>72</v>
      </c>
      <c r="L3" s="20" t="s">
        <v>73</v>
      </c>
      <c r="M3" s="20" t="s">
        <v>74</v>
      </c>
      <c r="N3" s="20" t="s">
        <v>75</v>
      </c>
      <c r="O3" s="20" t="s">
        <v>76</v>
      </c>
      <c r="P3" s="20" t="s">
        <v>77</v>
      </c>
      <c r="Q3" s="20" t="s">
        <v>78</v>
      </c>
      <c r="R3" s="20" t="s">
        <v>79</v>
      </c>
      <c r="S3" s="20" t="s">
        <v>80</v>
      </c>
      <c r="T3" s="20" t="s">
        <v>81</v>
      </c>
      <c r="U3" s="20" t="s">
        <v>82</v>
      </c>
      <c r="V3" s="20" t="s">
        <v>83</v>
      </c>
      <c r="W3" s="20" t="s">
        <v>93</v>
      </c>
      <c r="X3" s="20" t="s">
        <v>94</v>
      </c>
    </row>
    <row r="4" spans="2:24" ht="67.5" hidden="1" outlineLevel="1" x14ac:dyDescent="0.2">
      <c r="B4" s="16"/>
      <c r="C4" s="16"/>
      <c r="D4" s="11"/>
      <c r="E4" s="23" t="s">
        <v>65</v>
      </c>
      <c r="F4" s="23" t="s">
        <v>67</v>
      </c>
      <c r="G4" s="23" t="s">
        <v>65</v>
      </c>
      <c r="H4" s="23" t="s">
        <v>67</v>
      </c>
      <c r="I4" s="23" t="s">
        <v>65</v>
      </c>
      <c r="J4" s="23" t="s">
        <v>65</v>
      </c>
      <c r="K4" s="23" t="s">
        <v>67</v>
      </c>
      <c r="L4" s="23" t="s">
        <v>67</v>
      </c>
      <c r="M4" s="23" t="s">
        <v>67</v>
      </c>
      <c r="N4" s="23" t="s">
        <v>67</v>
      </c>
      <c r="O4" s="23" t="s">
        <v>67</v>
      </c>
      <c r="P4" s="23" t="s">
        <v>67</v>
      </c>
      <c r="Q4" s="23" t="s">
        <v>67</v>
      </c>
      <c r="R4" s="23" t="s">
        <v>67</v>
      </c>
      <c r="S4" s="23" t="s">
        <v>65</v>
      </c>
      <c r="T4" s="23" t="s">
        <v>67</v>
      </c>
      <c r="U4" s="23" t="s">
        <v>67</v>
      </c>
      <c r="V4" s="23" t="s">
        <v>67</v>
      </c>
      <c r="W4" s="23" t="s">
        <v>67</v>
      </c>
      <c r="X4" s="23" t="s">
        <v>67</v>
      </c>
    </row>
    <row r="5" spans="2:24" x14ac:dyDescent="0.2">
      <c r="B5" s="17" t="s">
        <v>85</v>
      </c>
      <c r="C5" s="17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2:24" outlineLevel="1" x14ac:dyDescent="0.2">
      <c r="B6" s="16"/>
      <c r="C6" s="16" t="s">
        <v>4</v>
      </c>
      <c r="D6" s="11">
        <v>500</v>
      </c>
      <c r="E6" s="21">
        <v>250</v>
      </c>
      <c r="F6" s="21">
        <v>750</v>
      </c>
      <c r="G6" s="11">
        <v>500</v>
      </c>
      <c r="H6" s="11">
        <v>500</v>
      </c>
      <c r="I6" s="11">
        <v>500</v>
      </c>
      <c r="J6" s="11">
        <v>500</v>
      </c>
      <c r="K6" s="11">
        <v>500</v>
      </c>
      <c r="L6" s="11">
        <v>500</v>
      </c>
      <c r="M6" s="11">
        <v>500</v>
      </c>
      <c r="N6" s="11">
        <v>500</v>
      </c>
      <c r="O6" s="11">
        <v>500</v>
      </c>
      <c r="P6" s="11">
        <v>500</v>
      </c>
      <c r="Q6" s="11">
        <v>500</v>
      </c>
      <c r="R6" s="11">
        <v>500</v>
      </c>
      <c r="S6" s="11">
        <v>500</v>
      </c>
      <c r="T6" s="11">
        <v>500</v>
      </c>
      <c r="U6" s="11">
        <v>500</v>
      </c>
      <c r="V6" s="11">
        <v>500</v>
      </c>
      <c r="W6" s="21">
        <v>750</v>
      </c>
      <c r="X6" s="21">
        <v>250</v>
      </c>
    </row>
    <row r="7" spans="2:24" outlineLevel="1" x14ac:dyDescent="0.2">
      <c r="B7" s="16"/>
      <c r="C7" s="16" t="s">
        <v>6</v>
      </c>
      <c r="D7" s="11">
        <v>1000</v>
      </c>
      <c r="E7" s="11">
        <v>1000</v>
      </c>
      <c r="F7" s="11">
        <v>1000</v>
      </c>
      <c r="G7" s="21">
        <v>500</v>
      </c>
      <c r="H7" s="21">
        <v>1500</v>
      </c>
      <c r="I7" s="11">
        <v>1000</v>
      </c>
      <c r="J7" s="11">
        <v>1000</v>
      </c>
      <c r="K7" s="11">
        <v>1000</v>
      </c>
      <c r="L7" s="11">
        <v>1000</v>
      </c>
      <c r="M7" s="11">
        <v>1000</v>
      </c>
      <c r="N7" s="11">
        <v>1000</v>
      </c>
      <c r="O7" s="11">
        <v>1000</v>
      </c>
      <c r="P7" s="11">
        <v>1000</v>
      </c>
      <c r="Q7" s="11">
        <v>1000</v>
      </c>
      <c r="R7" s="11">
        <v>1000</v>
      </c>
      <c r="S7" s="11">
        <v>1000</v>
      </c>
      <c r="T7" s="11">
        <v>1000</v>
      </c>
      <c r="U7" s="11">
        <v>1000</v>
      </c>
      <c r="V7" s="11">
        <v>1000</v>
      </c>
      <c r="W7" s="21">
        <v>500</v>
      </c>
      <c r="X7" s="21">
        <v>1500</v>
      </c>
    </row>
    <row r="8" spans="2:24" outlineLevel="1" x14ac:dyDescent="0.2">
      <c r="B8" s="16"/>
      <c r="C8" s="16" t="s">
        <v>10</v>
      </c>
      <c r="D8" s="11">
        <v>1000</v>
      </c>
      <c r="E8" s="11">
        <v>1000</v>
      </c>
      <c r="F8" s="11">
        <v>1000</v>
      </c>
      <c r="G8" s="11">
        <v>1000</v>
      </c>
      <c r="H8" s="11">
        <v>1000</v>
      </c>
      <c r="I8" s="21">
        <v>800</v>
      </c>
      <c r="J8" s="21">
        <v>1200</v>
      </c>
      <c r="K8" s="11">
        <v>1000</v>
      </c>
      <c r="L8" s="11">
        <v>1000</v>
      </c>
      <c r="M8" s="11">
        <v>1000</v>
      </c>
      <c r="N8" s="11">
        <v>1000</v>
      </c>
      <c r="O8" s="11">
        <v>1000</v>
      </c>
      <c r="P8" s="11">
        <v>1000</v>
      </c>
      <c r="Q8" s="11">
        <v>1000</v>
      </c>
      <c r="R8" s="11">
        <v>1000</v>
      </c>
      <c r="S8" s="11">
        <v>1000</v>
      </c>
      <c r="T8" s="11">
        <v>1000</v>
      </c>
      <c r="U8" s="11">
        <v>1000</v>
      </c>
      <c r="V8" s="11">
        <v>1000</v>
      </c>
      <c r="W8" s="21">
        <v>1200</v>
      </c>
      <c r="X8" s="21">
        <v>800</v>
      </c>
    </row>
    <row r="9" spans="2:24" outlineLevel="1" x14ac:dyDescent="0.2">
      <c r="B9" s="16"/>
      <c r="C9" s="16" t="s">
        <v>12</v>
      </c>
      <c r="D9" s="11">
        <v>0.15</v>
      </c>
      <c r="E9" s="11">
        <v>0.15</v>
      </c>
      <c r="F9" s="11">
        <v>0.15</v>
      </c>
      <c r="G9" s="11">
        <v>0.15</v>
      </c>
      <c r="H9" s="11">
        <v>0.15</v>
      </c>
      <c r="I9" s="11">
        <v>0.15</v>
      </c>
      <c r="J9" s="11">
        <v>0.15</v>
      </c>
      <c r="K9" s="21">
        <v>0.1</v>
      </c>
      <c r="L9" s="21">
        <v>0.2</v>
      </c>
      <c r="M9" s="11">
        <v>0.15</v>
      </c>
      <c r="N9" s="11">
        <v>0.15</v>
      </c>
      <c r="O9" s="11">
        <v>0.15</v>
      </c>
      <c r="P9" s="11">
        <v>0.15</v>
      </c>
      <c r="Q9" s="11">
        <v>0.15</v>
      </c>
      <c r="R9" s="11">
        <v>0.15</v>
      </c>
      <c r="S9" s="11">
        <v>0.15</v>
      </c>
      <c r="T9" s="11">
        <v>0.15</v>
      </c>
      <c r="U9" s="11">
        <v>0.15</v>
      </c>
      <c r="V9" s="11">
        <v>0.15</v>
      </c>
      <c r="W9" s="21">
        <v>0.1</v>
      </c>
      <c r="X9" s="21">
        <v>0.2</v>
      </c>
    </row>
    <row r="10" spans="2:24" outlineLevel="1" x14ac:dyDescent="0.2">
      <c r="B10" s="16"/>
      <c r="C10" s="16" t="s">
        <v>14</v>
      </c>
      <c r="D10" s="11">
        <v>3000</v>
      </c>
      <c r="E10" s="11">
        <v>3000</v>
      </c>
      <c r="F10" s="11">
        <v>3000</v>
      </c>
      <c r="G10" s="11">
        <v>3000</v>
      </c>
      <c r="H10" s="11">
        <v>3000</v>
      </c>
      <c r="I10" s="11">
        <v>3000</v>
      </c>
      <c r="J10" s="11">
        <v>3000</v>
      </c>
      <c r="K10" s="11">
        <v>3000</v>
      </c>
      <c r="L10" s="11">
        <v>3000</v>
      </c>
      <c r="M10" s="21">
        <v>2000</v>
      </c>
      <c r="N10" s="21">
        <v>4000</v>
      </c>
      <c r="O10" s="11">
        <v>3000</v>
      </c>
      <c r="P10" s="11">
        <v>3000</v>
      </c>
      <c r="Q10" s="11">
        <v>3000</v>
      </c>
      <c r="R10" s="11">
        <v>3000</v>
      </c>
      <c r="S10" s="11">
        <v>3000</v>
      </c>
      <c r="T10" s="11">
        <v>3000</v>
      </c>
      <c r="U10" s="11">
        <v>3000</v>
      </c>
      <c r="V10" s="11">
        <v>3000</v>
      </c>
      <c r="W10" s="21">
        <v>2000</v>
      </c>
      <c r="X10" s="21">
        <v>4000</v>
      </c>
    </row>
    <row r="11" spans="2:24" outlineLevel="1" x14ac:dyDescent="0.2">
      <c r="B11" s="16"/>
      <c r="C11" s="16" t="s">
        <v>18</v>
      </c>
      <c r="D11" s="12">
        <v>0.5</v>
      </c>
      <c r="E11" s="12">
        <v>0.5</v>
      </c>
      <c r="F11" s="12">
        <v>0.5</v>
      </c>
      <c r="G11" s="12">
        <v>0.5</v>
      </c>
      <c r="H11" s="12">
        <v>0.5</v>
      </c>
      <c r="I11" s="12">
        <v>0.5</v>
      </c>
      <c r="J11" s="12">
        <v>0.5</v>
      </c>
      <c r="K11" s="12">
        <v>0.5</v>
      </c>
      <c r="L11" s="12">
        <v>0.5</v>
      </c>
      <c r="M11" s="12">
        <v>0.5</v>
      </c>
      <c r="N11" s="12">
        <v>0.5</v>
      </c>
      <c r="O11" s="22">
        <v>0.4</v>
      </c>
      <c r="P11" s="22">
        <v>0.6</v>
      </c>
      <c r="Q11" s="12">
        <v>0.5</v>
      </c>
      <c r="R11" s="12">
        <v>0.5</v>
      </c>
      <c r="S11" s="12">
        <v>0.5</v>
      </c>
      <c r="T11" s="12">
        <v>0.5</v>
      </c>
      <c r="U11" s="12">
        <v>0.5</v>
      </c>
      <c r="V11" s="12">
        <v>0.5</v>
      </c>
      <c r="W11" s="22">
        <v>0.4</v>
      </c>
      <c r="X11" s="22">
        <v>0.6</v>
      </c>
    </row>
    <row r="12" spans="2:24" outlineLevel="1" x14ac:dyDescent="0.2">
      <c r="B12" s="16"/>
      <c r="C12" s="16" t="s">
        <v>23</v>
      </c>
      <c r="D12" s="11">
        <v>0.01</v>
      </c>
      <c r="E12" s="11">
        <v>0.01</v>
      </c>
      <c r="F12" s="11">
        <v>0.01</v>
      </c>
      <c r="G12" s="11">
        <v>0.01</v>
      </c>
      <c r="H12" s="11">
        <v>0.01</v>
      </c>
      <c r="I12" s="11">
        <v>0.01</v>
      </c>
      <c r="J12" s="11">
        <v>0.01</v>
      </c>
      <c r="K12" s="11">
        <v>0.01</v>
      </c>
      <c r="L12" s="11">
        <v>0.01</v>
      </c>
      <c r="M12" s="11">
        <v>0.01</v>
      </c>
      <c r="N12" s="11">
        <v>0.01</v>
      </c>
      <c r="O12" s="11">
        <v>0.01</v>
      </c>
      <c r="P12" s="11">
        <v>0.01</v>
      </c>
      <c r="Q12" s="21">
        <v>5.0000000000000001E-3</v>
      </c>
      <c r="R12" s="21">
        <v>1.4999999999999999E-2</v>
      </c>
      <c r="S12" s="11">
        <v>0.01</v>
      </c>
      <c r="T12" s="11">
        <v>0.01</v>
      </c>
      <c r="U12" s="11">
        <v>0.01</v>
      </c>
      <c r="V12" s="11">
        <v>0.01</v>
      </c>
      <c r="W12" s="21">
        <v>5.0000000000000001E-3</v>
      </c>
      <c r="X12" s="21">
        <v>1.4999999999999999E-2</v>
      </c>
    </row>
    <row r="13" spans="2:24" outlineLevel="1" x14ac:dyDescent="0.2">
      <c r="B13" s="16"/>
      <c r="C13" s="16" t="s">
        <v>24</v>
      </c>
      <c r="D13" s="11">
        <v>0.95</v>
      </c>
      <c r="E13" s="11">
        <v>0.95</v>
      </c>
      <c r="F13" s="11">
        <v>0.95</v>
      </c>
      <c r="G13" s="11">
        <v>0.95</v>
      </c>
      <c r="H13" s="11">
        <v>0.95</v>
      </c>
      <c r="I13" s="11">
        <v>0.95</v>
      </c>
      <c r="J13" s="11">
        <v>0.95</v>
      </c>
      <c r="K13" s="11">
        <v>0.95</v>
      </c>
      <c r="L13" s="11">
        <v>0.95</v>
      </c>
      <c r="M13" s="11">
        <v>0.95</v>
      </c>
      <c r="N13" s="11">
        <v>0.95</v>
      </c>
      <c r="O13" s="11">
        <v>0.95</v>
      </c>
      <c r="P13" s="11">
        <v>0.95</v>
      </c>
      <c r="Q13" s="11">
        <v>0.95</v>
      </c>
      <c r="R13" s="11">
        <v>0.95</v>
      </c>
      <c r="S13" s="21">
        <v>0.9</v>
      </c>
      <c r="T13" s="21">
        <v>1</v>
      </c>
      <c r="U13" s="11">
        <v>0.95</v>
      </c>
      <c r="V13" s="11">
        <v>0.95</v>
      </c>
      <c r="W13" s="21">
        <v>0.9</v>
      </c>
      <c r="X13" s="21">
        <v>1</v>
      </c>
    </row>
    <row r="14" spans="2:24" outlineLevel="1" x14ac:dyDescent="0.2">
      <c r="B14" s="16"/>
      <c r="C14" s="16" t="s">
        <v>26</v>
      </c>
      <c r="D14" s="11">
        <v>0.75</v>
      </c>
      <c r="E14" s="11">
        <v>0.75</v>
      </c>
      <c r="F14" s="11">
        <v>0.75</v>
      </c>
      <c r="G14" s="11">
        <v>0.75</v>
      </c>
      <c r="H14" s="11">
        <v>0.75</v>
      </c>
      <c r="I14" s="11">
        <v>0.75</v>
      </c>
      <c r="J14" s="11">
        <v>0.75</v>
      </c>
      <c r="K14" s="11">
        <v>0.75</v>
      </c>
      <c r="L14" s="11">
        <v>0.75</v>
      </c>
      <c r="M14" s="11">
        <v>0.75</v>
      </c>
      <c r="N14" s="11">
        <v>0.75</v>
      </c>
      <c r="O14" s="11">
        <v>0.75</v>
      </c>
      <c r="P14" s="11">
        <v>0.75</v>
      </c>
      <c r="Q14" s="11">
        <v>0.75</v>
      </c>
      <c r="R14" s="11">
        <v>0.75</v>
      </c>
      <c r="S14" s="11">
        <v>0.75</v>
      </c>
      <c r="T14" s="11">
        <v>0.75</v>
      </c>
      <c r="U14" s="21">
        <v>0.6</v>
      </c>
      <c r="V14" s="21">
        <v>0.9</v>
      </c>
      <c r="W14" s="21">
        <v>0.9</v>
      </c>
      <c r="X14" s="21">
        <v>0.6</v>
      </c>
    </row>
    <row r="15" spans="2:24" x14ac:dyDescent="0.2">
      <c r="B15" s="17" t="s">
        <v>87</v>
      </c>
      <c r="C15" s="17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2:24" outlineLevel="1" x14ac:dyDescent="0.2">
      <c r="B16" s="16"/>
      <c r="C16" s="16" t="s">
        <v>91</v>
      </c>
      <c r="D16" s="24">
        <v>6890.5436319296095</v>
      </c>
      <c r="E16" s="24">
        <v>6545.4162542976601</v>
      </c>
      <c r="F16" s="24">
        <v>7235.6710095615399</v>
      </c>
      <c r="G16" s="24">
        <v>6934.8140633837502</v>
      </c>
      <c r="H16" s="24">
        <v>6846.2732004754698</v>
      </c>
      <c r="I16" s="24">
        <v>5278.6193858000797</v>
      </c>
      <c r="J16" s="24">
        <v>8502.4678780591294</v>
      </c>
      <c r="K16" s="24">
        <v>6457.4381629593599</v>
      </c>
      <c r="L16" s="24">
        <v>7185.2246573746997</v>
      </c>
      <c r="M16" s="24">
        <v>7480.8074622874801</v>
      </c>
      <c r="N16" s="24">
        <v>6300.2798015717199</v>
      </c>
      <c r="O16" s="24">
        <v>6848.63680812446</v>
      </c>
      <c r="P16" s="24">
        <v>6929.8428540762898</v>
      </c>
      <c r="Q16" s="24">
        <v>8146.8002808668898</v>
      </c>
      <c r="R16" s="24">
        <v>6101.19339041289</v>
      </c>
      <c r="S16" s="24">
        <v>6890.5436319296095</v>
      </c>
      <c r="T16" s="24">
        <v>6890.5436319296095</v>
      </c>
      <c r="U16" s="24">
        <v>6890.5436319296095</v>
      </c>
      <c r="V16" s="24">
        <v>6890.5436319296095</v>
      </c>
      <c r="W16" s="24">
        <v>10350.952848982201</v>
      </c>
      <c r="X16" s="24">
        <v>3827.3537951470598</v>
      </c>
    </row>
    <row r="17" spans="2:24" outlineLevel="1" x14ac:dyDescent="0.2">
      <c r="B17" s="16"/>
      <c r="C17" s="16" t="s">
        <v>92</v>
      </c>
      <c r="D17" s="25">
        <v>0.86878616223299598</v>
      </c>
      <c r="E17" s="25">
        <v>0.86878616223299598</v>
      </c>
      <c r="F17" s="25">
        <v>0.86878616223299598</v>
      </c>
      <c r="G17" s="25">
        <v>0.86878616223299598</v>
      </c>
      <c r="H17" s="25">
        <v>0.86878616223299598</v>
      </c>
      <c r="I17" s="25">
        <v>0.86878616223299598</v>
      </c>
      <c r="J17" s="25">
        <v>0.86878616223299598</v>
      </c>
      <c r="K17" s="25">
        <v>0.75686243622593696</v>
      </c>
      <c r="L17" s="25">
        <v>0.94476908165663798</v>
      </c>
      <c r="M17" s="25">
        <v>0.86878616223299598</v>
      </c>
      <c r="N17" s="25">
        <v>0.86878616223299598</v>
      </c>
      <c r="O17" s="25">
        <v>0.65661781068085601</v>
      </c>
      <c r="P17" s="25">
        <v>1.10866674497233</v>
      </c>
      <c r="Q17" s="25">
        <v>0.66718461754106095</v>
      </c>
      <c r="R17" s="25">
        <v>0.94066748899077501</v>
      </c>
      <c r="S17" s="25">
        <v>0.79976068670660405</v>
      </c>
      <c r="T17" s="25">
        <v>0.93781163775938103</v>
      </c>
      <c r="U17" s="25">
        <v>0.95732573678667898</v>
      </c>
      <c r="V17" s="25">
        <v>0.78024658767930299</v>
      </c>
      <c r="W17" s="25">
        <v>0.335065905625891</v>
      </c>
      <c r="X17" s="25">
        <v>1.5161899177238001</v>
      </c>
    </row>
    <row r="18" spans="2:24" ht="13.5" outlineLevel="1" thickBot="1" x14ac:dyDescent="0.25">
      <c r="B18" s="18"/>
      <c r="C18" s="18" t="s">
        <v>55</v>
      </c>
      <c r="D18" s="26">
        <v>7931.23087299089</v>
      </c>
      <c r="E18" s="26">
        <v>7533.9784849637899</v>
      </c>
      <c r="F18" s="26">
        <v>8328.4832610179601</v>
      </c>
      <c r="G18" s="26">
        <v>7982.1875219093699</v>
      </c>
      <c r="H18" s="26">
        <v>7880.2742240724101</v>
      </c>
      <c r="I18" s="26">
        <v>6075.8557344337896</v>
      </c>
      <c r="J18" s="26">
        <v>9786.6060115479704</v>
      </c>
      <c r="K18" s="26">
        <v>8531.8518318323604</v>
      </c>
      <c r="L18" s="26">
        <v>7605.2707448634201</v>
      </c>
      <c r="M18" s="26">
        <v>8610.6429723281399</v>
      </c>
      <c r="N18" s="26">
        <v>7251.8187736536202</v>
      </c>
      <c r="O18" s="26">
        <v>10430.1721590875</v>
      </c>
      <c r="P18" s="26">
        <v>6250.6094689881002</v>
      </c>
      <c r="Q18" s="26">
        <v>12210.7135966238</v>
      </c>
      <c r="R18" s="26">
        <v>6486.02557420024</v>
      </c>
      <c r="S18" s="26">
        <v>8615.7568713519795</v>
      </c>
      <c r="T18" s="26">
        <v>7347.4708080958399</v>
      </c>
      <c r="U18" s="26">
        <v>7197.7001841171896</v>
      </c>
      <c r="V18" s="26">
        <v>8831.2384068531992</v>
      </c>
      <c r="W18" s="26">
        <v>30892.2891741163</v>
      </c>
      <c r="X18" s="26">
        <v>2524.3234705668801</v>
      </c>
    </row>
    <row r="19" spans="2:24" x14ac:dyDescent="0.2">
      <c r="B19" t="s">
        <v>88</v>
      </c>
    </row>
    <row r="20" spans="2:24" x14ac:dyDescent="0.2">
      <c r="B20" t="s">
        <v>89</v>
      </c>
    </row>
    <row r="21" spans="2:24" x14ac:dyDescent="0.2">
      <c r="B21" t="s">
        <v>90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23</vt:i4>
      </vt:variant>
    </vt:vector>
  </HeadingPairs>
  <TitlesOfParts>
    <vt:vector size="29" baseType="lpstr">
      <vt:lpstr>Introduction</vt:lpstr>
      <vt:lpstr>Parameters and Analysis</vt:lpstr>
      <vt:lpstr>Markov Model</vt:lpstr>
      <vt:lpstr>Scenario Summary</vt:lpstr>
      <vt:lpstr>CohortDrug</vt:lpstr>
      <vt:lpstr>CohortNoDrug</vt:lpstr>
      <vt:lpstr>_nD35</vt:lpstr>
      <vt:lpstr>_nD45</vt:lpstr>
      <vt:lpstr>_nD55</vt:lpstr>
      <vt:lpstr>_nD65</vt:lpstr>
      <vt:lpstr>_nD75</vt:lpstr>
      <vt:lpstr>_nD85</vt:lpstr>
      <vt:lpstr>alpha</vt:lpstr>
      <vt:lpstr>beta</vt:lpstr>
      <vt:lpstr>cAsymp</vt:lpstr>
      <vt:lpstr>cDeath</vt:lpstr>
      <vt:lpstr>cDR</vt:lpstr>
      <vt:lpstr>cDrug</vt:lpstr>
      <vt:lpstr>cProg</vt:lpstr>
      <vt:lpstr>cycle</vt:lpstr>
      <vt:lpstr>effect</vt:lpstr>
      <vt:lpstr>ini_age</vt:lpstr>
      <vt:lpstr>mean</vt:lpstr>
      <vt:lpstr>oDR</vt:lpstr>
      <vt:lpstr>se</vt:lpstr>
      <vt:lpstr>tpDcm</vt:lpstr>
      <vt:lpstr>tpProg</vt:lpstr>
      <vt:lpstr>uAsymp</vt:lpstr>
      <vt:lpstr>uProg</vt:lpstr>
    </vt:vector>
  </TitlesOfParts>
  <Manager>Health Economics Research Centre</Manager>
  <Company>University of Oxford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Probabilistic Sensitivity Analysis of Cost-Effectiveness Models</dc:title>
  <dc:creator>Andrew Briggs</dc:creator>
  <dc:description>This model is made available for educational purposes.  Please direct comments, corrections and requests for commercial use to andrew.briggs@ihs.ox.ac.uk</dc:description>
  <cp:lastModifiedBy>Nathan</cp:lastModifiedBy>
  <cp:lastPrinted>1999-09-02T12:09:59Z</cp:lastPrinted>
  <dcterms:created xsi:type="dcterms:W3CDTF">1997-05-02T12:23:35Z</dcterms:created>
  <dcterms:modified xsi:type="dcterms:W3CDTF">2020-11-16T10:32:13Z</dcterms:modified>
</cp:coreProperties>
</file>