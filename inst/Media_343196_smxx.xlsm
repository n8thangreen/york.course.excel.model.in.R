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8tha\Documents\R\york.course.excel.model.in.R\inst\"/>
    </mc:Choice>
  </mc:AlternateContent>
  <xr:revisionPtr revIDLastSave="0" documentId="13_ncr:1_{C54B11CB-AC1A-4C26-B22A-5CBA5BB69B6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oDR">'Parameters and Analysis'!$B$18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" i="1" l="1"/>
  <c r="H38" i="1"/>
  <c r="O6" i="5"/>
  <c r="P6" i="5"/>
  <c r="C19" i="5"/>
  <c r="C5" i="5"/>
  <c r="G6" i="5" s="1"/>
  <c r="C6" i="5"/>
  <c r="Q6" i="5"/>
  <c r="AE6" i="5"/>
  <c r="C7" i="5"/>
  <c r="C8" i="5"/>
  <c r="C9" i="5"/>
  <c r="C10" i="5"/>
  <c r="C11" i="5"/>
  <c r="C12" i="5"/>
  <c r="C13" i="5"/>
  <c r="C14" i="5"/>
  <c r="C15" i="5"/>
  <c r="C16" i="5"/>
  <c r="C17" i="5"/>
  <c r="C18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D69" i="5"/>
  <c r="E69" i="5"/>
  <c r="H69" i="5"/>
  <c r="I69" i="5"/>
  <c r="I76" i="5" s="1"/>
  <c r="D70" i="5"/>
  <c r="E70" i="5"/>
  <c r="H70" i="5"/>
  <c r="I70" i="5"/>
  <c r="D71" i="5"/>
  <c r="E71" i="5"/>
  <c r="H71" i="5"/>
  <c r="I71" i="5"/>
  <c r="D72" i="5"/>
  <c r="E72" i="5"/>
  <c r="H72" i="5"/>
  <c r="I72" i="5"/>
  <c r="D73" i="5"/>
  <c r="E73" i="5"/>
  <c r="H73" i="5"/>
  <c r="I73" i="5"/>
  <c r="D74" i="5"/>
  <c r="E74" i="5"/>
  <c r="H74" i="5"/>
  <c r="I74" i="5"/>
  <c r="D75" i="5"/>
  <c r="E75" i="5"/>
  <c r="H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D90" i="5" l="1"/>
  <c r="W6" i="5"/>
  <c r="F6" i="5"/>
  <c r="O7" i="5" s="1"/>
  <c r="V6" i="5"/>
  <c r="AE7" i="5" s="1"/>
  <c r="L13" i="1"/>
  <c r="L11" i="1"/>
  <c r="L12" i="1"/>
  <c r="L8" i="1"/>
  <c r="E90" i="5"/>
  <c r="H76" i="5"/>
  <c r="E6" i="5" l="1"/>
  <c r="K6" i="5" s="1"/>
  <c r="Q7" i="5"/>
  <c r="P7" i="5"/>
  <c r="U6" i="5"/>
  <c r="V7" i="5" s="1"/>
  <c r="AE8" i="5" s="1"/>
  <c r="L6" i="5" l="1"/>
  <c r="J6" i="5"/>
  <c r="I6" i="5"/>
  <c r="G7" i="5"/>
  <c r="F7" i="5"/>
  <c r="O8" i="5" s="1"/>
  <c r="N6" i="5"/>
  <c r="R6" i="5" s="1"/>
  <c r="AD6" i="5"/>
  <c r="AF6" i="5" s="1"/>
  <c r="AA6" i="5"/>
  <c r="Z6" i="5"/>
  <c r="Y6" i="5"/>
  <c r="W7" i="5"/>
  <c r="U7" i="5" s="1"/>
  <c r="AB6" i="5"/>
  <c r="P8" i="5" l="1"/>
  <c r="Q8" i="5"/>
  <c r="E7" i="5"/>
  <c r="J7" i="5" s="1"/>
  <c r="Y7" i="5"/>
  <c r="AA7" i="5"/>
  <c r="AD7" i="5"/>
  <c r="Z7" i="5"/>
  <c r="AB7" i="5"/>
  <c r="V8" i="5"/>
  <c r="I7" i="5"/>
  <c r="K7" i="5"/>
  <c r="N7" i="5"/>
  <c r="W8" i="5"/>
  <c r="G8" i="5" l="1"/>
  <c r="F8" i="5"/>
  <c r="P9" i="5" s="1"/>
  <c r="L7" i="5"/>
  <c r="U8" i="5"/>
  <c r="W9" i="5" s="1"/>
  <c r="AE9" i="5"/>
  <c r="R7" i="5"/>
  <c r="AF7" i="5"/>
  <c r="Q9" i="5" l="1"/>
  <c r="O9" i="5"/>
  <c r="E8" i="5"/>
  <c r="F9" i="5" s="1"/>
  <c r="P10" i="5" s="1"/>
  <c r="Z8" i="5"/>
  <c r="AB8" i="5"/>
  <c r="Y8" i="5"/>
  <c r="AD8" i="5"/>
  <c r="AA8" i="5"/>
  <c r="J8" i="5"/>
  <c r="K8" i="5"/>
  <c r="V9" i="5"/>
  <c r="Q10" i="5" l="1"/>
  <c r="G9" i="5"/>
  <c r="E9" i="5" s="1"/>
  <c r="G10" i="5" s="1"/>
  <c r="N8" i="5"/>
  <c r="R8" i="5" s="1"/>
  <c r="I8" i="5"/>
  <c r="O10" i="5"/>
  <c r="L8" i="5"/>
  <c r="AF8" i="5"/>
  <c r="AE10" i="5"/>
  <c r="U9" i="5"/>
  <c r="V10" i="5" s="1"/>
  <c r="J9" i="5" l="1"/>
  <c r="L9" i="5"/>
  <c r="N9" i="5"/>
  <c r="R9" i="5" s="1"/>
  <c r="K9" i="5"/>
  <c r="I9" i="5"/>
  <c r="F10" i="5"/>
  <c r="P11" i="5" s="1"/>
  <c r="AE11" i="5"/>
  <c r="Y9" i="5"/>
  <c r="AA9" i="5"/>
  <c r="AD9" i="5"/>
  <c r="Z9" i="5"/>
  <c r="AB9" i="5"/>
  <c r="W10" i="5"/>
  <c r="Q11" i="5" l="1"/>
  <c r="E10" i="5"/>
  <c r="G11" i="5" s="1"/>
  <c r="O11" i="5"/>
  <c r="AF9" i="5"/>
  <c r="U10" i="5"/>
  <c r="F11" i="5" l="1"/>
  <c r="Q12" i="5" s="1"/>
  <c r="N10" i="5"/>
  <c r="R10" i="5" s="1"/>
  <c r="I10" i="5"/>
  <c r="K10" i="5"/>
  <c r="L10" i="5"/>
  <c r="J10" i="5"/>
  <c r="Z10" i="5"/>
  <c r="AB10" i="5"/>
  <c r="Y10" i="5"/>
  <c r="AD10" i="5"/>
  <c r="AA10" i="5"/>
  <c r="V11" i="5"/>
  <c r="W11" i="5"/>
  <c r="P12" i="5" l="1"/>
  <c r="O12" i="5"/>
  <c r="E11" i="5"/>
  <c r="F12" i="5" s="1"/>
  <c r="P13" i="5" s="1"/>
  <c r="AE12" i="5"/>
  <c r="U11" i="5"/>
  <c r="V12" i="5" s="1"/>
  <c r="AF10" i="5"/>
  <c r="G12" i="5"/>
  <c r="J11" i="5" l="1"/>
  <c r="N11" i="5"/>
  <c r="R11" i="5" s="1"/>
  <c r="L11" i="5"/>
  <c r="I11" i="5"/>
  <c r="K11" i="5"/>
  <c r="Q13" i="5"/>
  <c r="O13" i="5"/>
  <c r="W12" i="5"/>
  <c r="U12" i="5" s="1"/>
  <c r="AE13" i="5"/>
  <c r="Y11" i="5"/>
  <c r="AA11" i="5"/>
  <c r="AD11" i="5"/>
  <c r="AF11" i="5" s="1"/>
  <c r="Z11" i="5"/>
  <c r="AB11" i="5"/>
  <c r="E12" i="5"/>
  <c r="W13" i="5" l="1"/>
  <c r="V13" i="5"/>
  <c r="J12" i="5"/>
  <c r="L12" i="5"/>
  <c r="K12" i="5"/>
  <c r="I12" i="5"/>
  <c r="N12" i="5"/>
  <c r="R12" i="5" s="1"/>
  <c r="F13" i="5"/>
  <c r="Z12" i="5"/>
  <c r="AB12" i="5"/>
  <c r="Y12" i="5"/>
  <c r="AD12" i="5"/>
  <c r="AF12" i="5" s="1"/>
  <c r="AA12" i="5"/>
  <c r="G13" i="5"/>
  <c r="P14" i="5" l="1"/>
  <c r="O14" i="5"/>
  <c r="U13" i="5"/>
  <c r="Z13" i="5" s="1"/>
  <c r="AE14" i="5"/>
  <c r="Q14" i="5"/>
  <c r="E13" i="5"/>
  <c r="AD13" i="5" l="1"/>
  <c r="AF13" i="5" s="1"/>
  <c r="V14" i="5"/>
  <c r="AE15" i="5" s="1"/>
  <c r="AB13" i="5"/>
  <c r="Y13" i="5"/>
  <c r="AA13" i="5"/>
  <c r="W14" i="5"/>
  <c r="I13" i="5"/>
  <c r="K13" i="5"/>
  <c r="N13" i="5"/>
  <c r="R13" i="5" s="1"/>
  <c r="L13" i="5"/>
  <c r="J13" i="5"/>
  <c r="G14" i="5"/>
  <c r="F14" i="5"/>
  <c r="P15" i="5" l="1"/>
  <c r="O15" i="5"/>
  <c r="U14" i="5"/>
  <c r="Z14" i="5" s="1"/>
  <c r="E14" i="5"/>
  <c r="Q15" i="5"/>
  <c r="V15" i="5" l="1"/>
  <c r="AE16" i="5" s="1"/>
  <c r="AA14" i="5"/>
  <c r="W15" i="5"/>
  <c r="AD14" i="5"/>
  <c r="AF14" i="5" s="1"/>
  <c r="Y14" i="5"/>
  <c r="AB14" i="5"/>
  <c r="J14" i="5"/>
  <c r="L14" i="5"/>
  <c r="K14" i="5"/>
  <c r="I14" i="5"/>
  <c r="N14" i="5"/>
  <c r="R14" i="5" s="1"/>
  <c r="G15" i="5"/>
  <c r="F15" i="5"/>
  <c r="P16" i="5" l="1"/>
  <c r="O16" i="5"/>
  <c r="U15" i="5"/>
  <c r="W16" i="5" s="1"/>
  <c r="Q16" i="5"/>
  <c r="E15" i="5"/>
  <c r="G16" i="5" s="1"/>
  <c r="AD15" i="5" l="1"/>
  <c r="AF15" i="5" s="1"/>
  <c r="AA15" i="5"/>
  <c r="AB15" i="5"/>
  <c r="Z15" i="5"/>
  <c r="Y15" i="5"/>
  <c r="V16" i="5"/>
  <c r="U16" i="5" s="1"/>
  <c r="I15" i="5"/>
  <c r="K15" i="5"/>
  <c r="N15" i="5"/>
  <c r="R15" i="5" s="1"/>
  <c r="L15" i="5"/>
  <c r="J15" i="5"/>
  <c r="F16" i="5"/>
  <c r="P17" i="5" l="1"/>
  <c r="O17" i="5"/>
  <c r="AE17" i="5"/>
  <c r="V17" i="5"/>
  <c r="AE18" i="5" s="1"/>
  <c r="AD16" i="5"/>
  <c r="AF16" i="5" s="1"/>
  <c r="Z16" i="5"/>
  <c r="AA16" i="5"/>
  <c r="AB16" i="5"/>
  <c r="W17" i="5"/>
  <c r="Y16" i="5"/>
  <c r="E16" i="5"/>
  <c r="G17" i="5" s="1"/>
  <c r="Q17" i="5"/>
  <c r="U17" i="5" l="1"/>
  <c r="AA17" i="5" s="1"/>
  <c r="F17" i="5"/>
  <c r="O18" i="5" s="1"/>
  <c r="J16" i="5"/>
  <c r="L16" i="5"/>
  <c r="K16" i="5"/>
  <c r="I16" i="5"/>
  <c r="N16" i="5"/>
  <c r="R16" i="5" s="1"/>
  <c r="E17" i="5" l="1"/>
  <c r="G18" i="5" s="1"/>
  <c r="P18" i="5"/>
  <c r="V18" i="5"/>
  <c r="AE19" i="5" s="1"/>
  <c r="W18" i="5"/>
  <c r="Z17" i="5"/>
  <c r="AB17" i="5"/>
  <c r="AD17" i="5"/>
  <c r="AF17" i="5" s="1"/>
  <c r="Y17" i="5"/>
  <c r="Q18" i="5"/>
  <c r="N17" i="5"/>
  <c r="R17" i="5" s="1"/>
  <c r="L17" i="5"/>
  <c r="F18" i="5" l="1"/>
  <c r="E18" i="5" s="1"/>
  <c r="G19" i="5" s="1"/>
  <c r="K17" i="5"/>
  <c r="J17" i="5"/>
  <c r="I17" i="5"/>
  <c r="U18" i="5"/>
  <c r="Y18" i="5" s="1"/>
  <c r="Q19" i="5" l="1"/>
  <c r="Z18" i="5"/>
  <c r="AB18" i="5"/>
  <c r="W19" i="5"/>
  <c r="P19" i="5"/>
  <c r="O19" i="5"/>
  <c r="V19" i="5"/>
  <c r="AD18" i="5"/>
  <c r="AF18" i="5" s="1"/>
  <c r="AA18" i="5"/>
  <c r="J18" i="5"/>
  <c r="L18" i="5"/>
  <c r="K18" i="5"/>
  <c r="I18" i="5"/>
  <c r="N18" i="5"/>
  <c r="R18" i="5" s="1"/>
  <c r="F19" i="5"/>
  <c r="U19" i="5" l="1"/>
  <c r="AA19" i="5" s="1"/>
  <c r="AE20" i="5"/>
  <c r="P20" i="5"/>
  <c r="O20" i="5"/>
  <c r="Z19" i="5"/>
  <c r="AD19" i="5"/>
  <c r="AF19" i="5" s="1"/>
  <c r="Y19" i="5"/>
  <c r="AB19" i="5"/>
  <c r="V20" i="5"/>
  <c r="W20" i="5"/>
  <c r="Q20" i="5"/>
  <c r="E19" i="5"/>
  <c r="G20" i="5" s="1"/>
  <c r="U20" i="5" l="1"/>
  <c r="W21" i="5" s="1"/>
  <c r="AE21" i="5"/>
  <c r="I19" i="5"/>
  <c r="K19" i="5"/>
  <c r="N19" i="5"/>
  <c r="R19" i="5" s="1"/>
  <c r="L19" i="5"/>
  <c r="J19" i="5"/>
  <c r="F20" i="5"/>
  <c r="P21" i="5" l="1"/>
  <c r="O21" i="5"/>
  <c r="AB20" i="5"/>
  <c r="Y20" i="5"/>
  <c r="AD20" i="5"/>
  <c r="AF20" i="5" s="1"/>
  <c r="Z20" i="5"/>
  <c r="AA20" i="5"/>
  <c r="V21" i="5"/>
  <c r="E20" i="5"/>
  <c r="Q21" i="5"/>
  <c r="AE22" i="5" l="1"/>
  <c r="U21" i="5"/>
  <c r="V22" i="5" s="1"/>
  <c r="J20" i="5"/>
  <c r="L20" i="5"/>
  <c r="K20" i="5"/>
  <c r="I20" i="5"/>
  <c r="N20" i="5"/>
  <c r="R20" i="5" s="1"/>
  <c r="G21" i="5"/>
  <c r="F21" i="5"/>
  <c r="P22" i="5" l="1"/>
  <c r="O22" i="5"/>
  <c r="AE23" i="5"/>
  <c r="W22" i="5"/>
  <c r="AD21" i="5"/>
  <c r="AF21" i="5" s="1"/>
  <c r="Z21" i="5"/>
  <c r="Y21" i="5"/>
  <c r="AA21" i="5"/>
  <c r="AB21" i="5"/>
  <c r="Q22" i="5"/>
  <c r="E21" i="5"/>
  <c r="F22" i="5" s="1"/>
  <c r="P23" i="5" l="1"/>
  <c r="O23" i="5"/>
  <c r="G22" i="5"/>
  <c r="E22" i="5" s="1"/>
  <c r="U22" i="5"/>
  <c r="Q23" i="5"/>
  <c r="I21" i="5"/>
  <c r="K21" i="5"/>
  <c r="N21" i="5"/>
  <c r="R21" i="5" s="1"/>
  <c r="L21" i="5"/>
  <c r="J21" i="5"/>
  <c r="V23" i="5" l="1"/>
  <c r="Y22" i="5"/>
  <c r="AD22" i="5"/>
  <c r="AF22" i="5" s="1"/>
  <c r="Z22" i="5"/>
  <c r="AA22" i="5"/>
  <c r="AB22" i="5"/>
  <c r="W23" i="5"/>
  <c r="J22" i="5"/>
  <c r="L22" i="5"/>
  <c r="K22" i="5"/>
  <c r="I22" i="5"/>
  <c r="N22" i="5"/>
  <c r="R22" i="5" s="1"/>
  <c r="G23" i="5"/>
  <c r="F23" i="5"/>
  <c r="P24" i="5" l="1"/>
  <c r="O24" i="5"/>
  <c r="AE24" i="5"/>
  <c r="U23" i="5"/>
  <c r="Q24" i="5"/>
  <c r="E23" i="5"/>
  <c r="V24" i="5" l="1"/>
  <c r="Y23" i="5"/>
  <c r="AB23" i="5"/>
  <c r="AA23" i="5"/>
  <c r="AD23" i="5"/>
  <c r="AF23" i="5" s="1"/>
  <c r="Z23" i="5"/>
  <c r="W24" i="5"/>
  <c r="I23" i="5"/>
  <c r="K23" i="5"/>
  <c r="N23" i="5"/>
  <c r="R23" i="5" s="1"/>
  <c r="L23" i="5"/>
  <c r="J23" i="5"/>
  <c r="G24" i="5"/>
  <c r="F24" i="5"/>
  <c r="P25" i="5" l="1"/>
  <c r="O25" i="5"/>
  <c r="U24" i="5"/>
  <c r="V25" i="5" s="1"/>
  <c r="AE25" i="5"/>
  <c r="E24" i="5"/>
  <c r="Q25" i="5"/>
  <c r="AE26" i="5" l="1"/>
  <c r="W25" i="5"/>
  <c r="Y24" i="5"/>
  <c r="AB24" i="5"/>
  <c r="AD24" i="5"/>
  <c r="AF24" i="5" s="1"/>
  <c r="Z24" i="5"/>
  <c r="AA24" i="5"/>
  <c r="J24" i="5"/>
  <c r="L24" i="5"/>
  <c r="K24" i="5"/>
  <c r="I24" i="5"/>
  <c r="N24" i="5"/>
  <c r="R24" i="5" s="1"/>
  <c r="G25" i="5"/>
  <c r="F25" i="5"/>
  <c r="P26" i="5" l="1"/>
  <c r="O26" i="5"/>
  <c r="U25" i="5"/>
  <c r="Q26" i="5"/>
  <c r="E25" i="5"/>
  <c r="G26" i="5" s="1"/>
  <c r="AA25" i="5" l="1"/>
  <c r="AD25" i="5"/>
  <c r="AF25" i="5" s="1"/>
  <c r="Z25" i="5"/>
  <c r="Y25" i="5"/>
  <c r="AB25" i="5"/>
  <c r="V26" i="5"/>
  <c r="W26" i="5"/>
  <c r="I25" i="5"/>
  <c r="K25" i="5"/>
  <c r="N25" i="5"/>
  <c r="R25" i="5" s="1"/>
  <c r="L25" i="5"/>
  <c r="J25" i="5"/>
  <c r="F26" i="5"/>
  <c r="P27" i="5" l="1"/>
  <c r="O27" i="5"/>
  <c r="U26" i="5"/>
  <c r="V27" i="5" s="1"/>
  <c r="AE27" i="5"/>
  <c r="E26" i="5"/>
  <c r="Q27" i="5"/>
  <c r="AB26" i="5" l="1"/>
  <c r="Y26" i="5"/>
  <c r="Z26" i="5"/>
  <c r="AA26" i="5"/>
  <c r="AD26" i="5"/>
  <c r="AF26" i="5" s="1"/>
  <c r="AE28" i="5"/>
  <c r="W27" i="5"/>
  <c r="U27" i="5" s="1"/>
  <c r="V28" i="5" s="1"/>
  <c r="J26" i="5"/>
  <c r="L26" i="5"/>
  <c r="K26" i="5"/>
  <c r="I26" i="5"/>
  <c r="N26" i="5"/>
  <c r="R26" i="5" s="1"/>
  <c r="G27" i="5"/>
  <c r="F27" i="5"/>
  <c r="P28" i="5" l="1"/>
  <c r="O28" i="5"/>
  <c r="W28" i="5"/>
  <c r="U28" i="5" s="1"/>
  <c r="V29" i="5" s="1"/>
  <c r="Z27" i="5"/>
  <c r="Y27" i="5"/>
  <c r="AB27" i="5"/>
  <c r="AA27" i="5"/>
  <c r="AD27" i="5"/>
  <c r="AF27" i="5" s="1"/>
  <c r="AE29" i="5"/>
  <c r="Q28" i="5"/>
  <c r="E27" i="5"/>
  <c r="Y28" i="5" l="1"/>
  <c r="AD28" i="5"/>
  <c r="AF28" i="5" s="1"/>
  <c r="Z28" i="5"/>
  <c r="AA28" i="5"/>
  <c r="AB28" i="5"/>
  <c r="AE30" i="5"/>
  <c r="W29" i="5"/>
  <c r="U29" i="5" s="1"/>
  <c r="V30" i="5" s="1"/>
  <c r="I27" i="5"/>
  <c r="K27" i="5"/>
  <c r="N27" i="5"/>
  <c r="R27" i="5" s="1"/>
  <c r="L27" i="5"/>
  <c r="J27" i="5"/>
  <c r="G28" i="5"/>
  <c r="F28" i="5"/>
  <c r="P29" i="5" l="1"/>
  <c r="O29" i="5"/>
  <c r="AE31" i="5"/>
  <c r="W30" i="5"/>
  <c r="Z29" i="5"/>
  <c r="Y29" i="5"/>
  <c r="AB29" i="5"/>
  <c r="AA29" i="5"/>
  <c r="AD29" i="5"/>
  <c r="AF29" i="5" s="1"/>
  <c r="E28" i="5"/>
  <c r="Q29" i="5"/>
  <c r="U30" i="5" l="1"/>
  <c r="J28" i="5"/>
  <c r="L28" i="5"/>
  <c r="K28" i="5"/>
  <c r="I28" i="5"/>
  <c r="N28" i="5"/>
  <c r="R28" i="5" s="1"/>
  <c r="G29" i="5"/>
  <c r="F29" i="5"/>
  <c r="P30" i="5" l="1"/>
  <c r="O30" i="5"/>
  <c r="Z30" i="5"/>
  <c r="AA30" i="5"/>
  <c r="AB30" i="5"/>
  <c r="Y30" i="5"/>
  <c r="AD30" i="5"/>
  <c r="AF30" i="5" s="1"/>
  <c r="V31" i="5"/>
  <c r="W31" i="5"/>
  <c r="Q30" i="5"/>
  <c r="E29" i="5"/>
  <c r="G30" i="5" s="1"/>
  <c r="U31" i="5" l="1"/>
  <c r="AE32" i="5"/>
  <c r="I29" i="5"/>
  <c r="K29" i="5"/>
  <c r="N29" i="5"/>
  <c r="R29" i="5" s="1"/>
  <c r="L29" i="5"/>
  <c r="J29" i="5"/>
  <c r="F30" i="5"/>
  <c r="P31" i="5" l="1"/>
  <c r="O31" i="5"/>
  <c r="V32" i="5"/>
  <c r="AD31" i="5"/>
  <c r="AF31" i="5" s="1"/>
  <c r="Z31" i="5"/>
  <c r="Y31" i="5"/>
  <c r="AB31" i="5"/>
  <c r="AA31" i="5"/>
  <c r="W32" i="5"/>
  <c r="E30" i="5"/>
  <c r="F31" i="5" s="1"/>
  <c r="Q31" i="5"/>
  <c r="P32" i="5" l="1"/>
  <c r="O32" i="5"/>
  <c r="G31" i="5"/>
  <c r="E31" i="5" s="1"/>
  <c r="F32" i="5" s="1"/>
  <c r="AE33" i="5"/>
  <c r="U32" i="5"/>
  <c r="V33" i="5" s="1"/>
  <c r="Q32" i="5"/>
  <c r="J30" i="5"/>
  <c r="L30" i="5"/>
  <c r="K30" i="5"/>
  <c r="I30" i="5"/>
  <c r="N30" i="5"/>
  <c r="R30" i="5" s="1"/>
  <c r="P33" i="5" l="1"/>
  <c r="O33" i="5"/>
  <c r="AE34" i="5"/>
  <c r="AB32" i="5"/>
  <c r="AA32" i="5"/>
  <c r="AD32" i="5"/>
  <c r="AF32" i="5" s="1"/>
  <c r="Y32" i="5"/>
  <c r="Z32" i="5"/>
  <c r="W33" i="5"/>
  <c r="G32" i="5"/>
  <c r="E32" i="5" s="1"/>
  <c r="G33" i="5" s="1"/>
  <c r="Q33" i="5"/>
  <c r="I31" i="5"/>
  <c r="K31" i="5"/>
  <c r="N31" i="5"/>
  <c r="R31" i="5" s="1"/>
  <c r="L31" i="5"/>
  <c r="J31" i="5"/>
  <c r="U33" i="5" l="1"/>
  <c r="J32" i="5"/>
  <c r="L32" i="5"/>
  <c r="I32" i="5"/>
  <c r="K32" i="5"/>
  <c r="N32" i="5"/>
  <c r="R32" i="5" s="1"/>
  <c r="F33" i="5"/>
  <c r="P34" i="5" s="1"/>
  <c r="V34" i="5" l="1"/>
  <c r="AA33" i="5"/>
  <c r="AD33" i="5"/>
  <c r="AF33" i="5" s="1"/>
  <c r="Z33" i="5"/>
  <c r="Y33" i="5"/>
  <c r="AB33" i="5"/>
  <c r="W34" i="5"/>
  <c r="Q34" i="5"/>
  <c r="E33" i="5"/>
  <c r="U34" i="5" l="1"/>
  <c r="W35" i="5" s="1"/>
  <c r="AE35" i="5"/>
  <c r="I33" i="5"/>
  <c r="K33" i="5"/>
  <c r="N33" i="5"/>
  <c r="R33" i="5" s="1"/>
  <c r="J33" i="5"/>
  <c r="L33" i="5"/>
  <c r="G34" i="5"/>
  <c r="F34" i="5"/>
  <c r="P35" i="5" s="1"/>
  <c r="V35" i="5" l="1"/>
  <c r="AE36" i="5" s="1"/>
  <c r="Y34" i="5"/>
  <c r="Z34" i="5"/>
  <c r="AD34" i="5"/>
  <c r="AF34" i="5" s="1"/>
  <c r="AB34" i="5"/>
  <c r="AA34" i="5"/>
  <c r="E34" i="5"/>
  <c r="Q35" i="5"/>
  <c r="U35" i="5" l="1"/>
  <c r="W36" i="5" s="1"/>
  <c r="J34" i="5"/>
  <c r="L34" i="5"/>
  <c r="I34" i="5"/>
  <c r="K34" i="5"/>
  <c r="N34" i="5"/>
  <c r="R34" i="5" s="1"/>
  <c r="G35" i="5"/>
  <c r="F35" i="5"/>
  <c r="P36" i="5" s="1"/>
  <c r="Z35" i="5" l="1"/>
  <c r="Y35" i="5"/>
  <c r="AB35" i="5"/>
  <c r="AD35" i="5"/>
  <c r="AF35" i="5" s="1"/>
  <c r="AA35" i="5"/>
  <c r="V36" i="5"/>
  <c r="AE37" i="5" s="1"/>
  <c r="Q36" i="5"/>
  <c r="E35" i="5"/>
  <c r="F36" i="5" s="1"/>
  <c r="P37" i="5" s="1"/>
  <c r="U36" i="5" l="1"/>
  <c r="W37" i="5" s="1"/>
  <c r="G36" i="5"/>
  <c r="Q37" i="5"/>
  <c r="I35" i="5"/>
  <c r="K35" i="5"/>
  <c r="N35" i="5"/>
  <c r="R35" i="5" s="1"/>
  <c r="J35" i="5"/>
  <c r="L35" i="5"/>
  <c r="V37" i="5" l="1"/>
  <c r="AE38" i="5" s="1"/>
  <c r="AA36" i="5"/>
  <c r="Y36" i="5"/>
  <c r="AB36" i="5"/>
  <c r="AD36" i="5"/>
  <c r="AF36" i="5" s="1"/>
  <c r="Z36" i="5"/>
  <c r="E36" i="5"/>
  <c r="F37" i="5" s="1"/>
  <c r="Q38" i="5" l="1"/>
  <c r="P38" i="5"/>
  <c r="U37" i="5"/>
  <c r="W38" i="5" s="1"/>
  <c r="N36" i="5"/>
  <c r="R36" i="5" s="1"/>
  <c r="I36" i="5"/>
  <c r="L36" i="5"/>
  <c r="K36" i="5"/>
  <c r="J36" i="5"/>
  <c r="G37" i="5"/>
  <c r="V38" i="5" l="1"/>
  <c r="AE39" i="5" s="1"/>
  <c r="Y37" i="5"/>
  <c r="AD37" i="5"/>
  <c r="AF37" i="5" s="1"/>
  <c r="AA37" i="5"/>
  <c r="AB37" i="5"/>
  <c r="Z37" i="5"/>
  <c r="E37" i="5"/>
  <c r="U38" i="5" l="1"/>
  <c r="V39" i="5" s="1"/>
  <c r="AE40" i="5" s="1"/>
  <c r="F38" i="5"/>
  <c r="P39" i="5" s="1"/>
  <c r="I37" i="5"/>
  <c r="L37" i="5"/>
  <c r="K37" i="5"/>
  <c r="N37" i="5"/>
  <c r="R37" i="5" s="1"/>
  <c r="J37" i="5"/>
  <c r="G38" i="5"/>
  <c r="Z38" i="5" l="1"/>
  <c r="AB38" i="5"/>
  <c r="Y38" i="5"/>
  <c r="AD38" i="5"/>
  <c r="AF38" i="5" s="1"/>
  <c r="W39" i="5"/>
  <c r="U39" i="5" s="1"/>
  <c r="AA38" i="5"/>
  <c r="Q39" i="5"/>
  <c r="E38" i="5"/>
  <c r="Z39" i="5" l="1"/>
  <c r="AD39" i="5"/>
  <c r="AF39" i="5" s="1"/>
  <c r="Y39" i="5"/>
  <c r="W40" i="5"/>
  <c r="V40" i="5"/>
  <c r="AE41" i="5" s="1"/>
  <c r="AB39" i="5"/>
  <c r="AA39" i="5"/>
  <c r="L38" i="5"/>
  <c r="N38" i="5"/>
  <c r="R38" i="5" s="1"/>
  <c r="I38" i="5"/>
  <c r="J38" i="5"/>
  <c r="K38" i="5"/>
  <c r="G39" i="5"/>
  <c r="F39" i="5"/>
  <c r="P40" i="5" s="1"/>
  <c r="U40" i="5" l="1"/>
  <c r="V41" i="5" s="1"/>
  <c r="AE42" i="5" s="1"/>
  <c r="Q40" i="5"/>
  <c r="E39" i="5"/>
  <c r="F40" i="5" s="1"/>
  <c r="P41" i="5" s="1"/>
  <c r="W41" i="5" l="1"/>
  <c r="U41" i="5" s="1"/>
  <c r="AB40" i="5"/>
  <c r="Z40" i="5"/>
  <c r="Y40" i="5"/>
  <c r="AD40" i="5"/>
  <c r="AF40" i="5" s="1"/>
  <c r="AA40" i="5"/>
  <c r="Q41" i="5"/>
  <c r="J39" i="5"/>
  <c r="K39" i="5"/>
  <c r="I39" i="5"/>
  <c r="L39" i="5"/>
  <c r="N39" i="5"/>
  <c r="R39" i="5" s="1"/>
  <c r="G40" i="5"/>
  <c r="W42" i="5" l="1"/>
  <c r="AB41" i="5"/>
  <c r="Z41" i="5"/>
  <c r="AA41" i="5"/>
  <c r="AD41" i="5"/>
  <c r="AF41" i="5" s="1"/>
  <c r="Y41" i="5"/>
  <c r="V42" i="5"/>
  <c r="AE43" i="5" s="1"/>
  <c r="E40" i="5"/>
  <c r="U42" i="5" l="1"/>
  <c r="V43" i="5" s="1"/>
  <c r="AE44" i="5" s="1"/>
  <c r="J40" i="5"/>
  <c r="K40" i="5"/>
  <c r="N40" i="5"/>
  <c r="R40" i="5" s="1"/>
  <c r="L40" i="5"/>
  <c r="I40" i="5"/>
  <c r="F41" i="5"/>
  <c r="P42" i="5" s="1"/>
  <c r="G41" i="5"/>
  <c r="W43" i="5" l="1"/>
  <c r="U43" i="5" s="1"/>
  <c r="Z42" i="5"/>
  <c r="AB42" i="5"/>
  <c r="Y42" i="5"/>
  <c r="AA42" i="5"/>
  <c r="AD42" i="5"/>
  <c r="AF42" i="5" s="1"/>
  <c r="E41" i="5"/>
  <c r="Q42" i="5"/>
  <c r="V44" i="5" l="1"/>
  <c r="Y43" i="5"/>
  <c r="AA43" i="5"/>
  <c r="AB43" i="5"/>
  <c r="Z43" i="5"/>
  <c r="AD43" i="5"/>
  <c r="AF43" i="5" s="1"/>
  <c r="W44" i="5"/>
  <c r="U44" i="5" s="1"/>
  <c r="V45" i="5" s="1"/>
  <c r="AE45" i="5"/>
  <c r="F42" i="5"/>
  <c r="P43" i="5" s="1"/>
  <c r="J41" i="5"/>
  <c r="N41" i="5"/>
  <c r="R41" i="5" s="1"/>
  <c r="I41" i="5"/>
  <c r="L41" i="5"/>
  <c r="K41" i="5"/>
  <c r="G42" i="5"/>
  <c r="AE46" i="5" l="1"/>
  <c r="W45" i="5"/>
  <c r="AB44" i="5"/>
  <c r="AA44" i="5"/>
  <c r="Y44" i="5"/>
  <c r="Z44" i="5"/>
  <c r="AD44" i="5"/>
  <c r="AF44" i="5" s="1"/>
  <c r="Q43" i="5"/>
  <c r="E42" i="5"/>
  <c r="G43" i="5" s="1"/>
  <c r="U45" i="5" l="1"/>
  <c r="F43" i="5"/>
  <c r="P44" i="5" s="1"/>
  <c r="J42" i="5"/>
  <c r="K42" i="5"/>
  <c r="L42" i="5"/>
  <c r="I42" i="5"/>
  <c r="N42" i="5"/>
  <c r="R42" i="5" s="1"/>
  <c r="V46" i="5" l="1"/>
  <c r="AD45" i="5"/>
  <c r="AF45" i="5" s="1"/>
  <c r="Y45" i="5"/>
  <c r="AA45" i="5"/>
  <c r="Z45" i="5"/>
  <c r="AB45" i="5"/>
  <c r="W46" i="5"/>
  <c r="Q44" i="5"/>
  <c r="E43" i="5"/>
  <c r="G44" i="5" s="1"/>
  <c r="U46" i="5" l="1"/>
  <c r="W47" i="5" s="1"/>
  <c r="AE47" i="5"/>
  <c r="F44" i="5"/>
  <c r="P45" i="5" s="1"/>
  <c r="I43" i="5"/>
  <c r="L43" i="5"/>
  <c r="K43" i="5"/>
  <c r="J43" i="5"/>
  <c r="N43" i="5"/>
  <c r="R43" i="5" s="1"/>
  <c r="V47" i="5" l="1"/>
  <c r="AE48" i="5" s="1"/>
  <c r="AA46" i="5"/>
  <c r="Y46" i="5"/>
  <c r="Z46" i="5"/>
  <c r="AB46" i="5"/>
  <c r="AD46" i="5"/>
  <c r="AF46" i="5" s="1"/>
  <c r="Q45" i="5"/>
  <c r="E44" i="5"/>
  <c r="F45" i="5" s="1"/>
  <c r="P46" i="5" s="1"/>
  <c r="U47" i="5" l="1"/>
  <c r="V48" i="5" s="1"/>
  <c r="AE49" i="5" s="1"/>
  <c r="Q46" i="5"/>
  <c r="L44" i="5"/>
  <c r="I44" i="5"/>
  <c r="J44" i="5"/>
  <c r="N44" i="5"/>
  <c r="R44" i="5" s="1"/>
  <c r="K44" i="5"/>
  <c r="G45" i="5"/>
  <c r="AB47" i="5" l="1"/>
  <c r="Y47" i="5"/>
  <c r="AD47" i="5"/>
  <c r="AF47" i="5" s="1"/>
  <c r="AA47" i="5"/>
  <c r="Z47" i="5"/>
  <c r="W48" i="5"/>
  <c r="U48" i="5" s="1"/>
  <c r="E45" i="5"/>
  <c r="G46" i="5" s="1"/>
  <c r="V49" i="5" l="1"/>
  <c r="AD48" i="5"/>
  <c r="AF48" i="5" s="1"/>
  <c r="AA48" i="5"/>
  <c r="AB48" i="5"/>
  <c r="Y48" i="5"/>
  <c r="Z48" i="5"/>
  <c r="W49" i="5"/>
  <c r="K45" i="5"/>
  <c r="N45" i="5"/>
  <c r="R45" i="5" s="1"/>
  <c r="J45" i="5"/>
  <c r="I45" i="5"/>
  <c r="L45" i="5"/>
  <c r="F46" i="5"/>
  <c r="P47" i="5" s="1"/>
  <c r="AE50" i="5" l="1"/>
  <c r="AE52" i="5" s="1"/>
  <c r="AE53" i="5" s="1"/>
  <c r="U49" i="5"/>
  <c r="V50" i="5" s="1"/>
  <c r="E46" i="5"/>
  <c r="F47" i="5" s="1"/>
  <c r="P48" i="5" s="1"/>
  <c r="Q47" i="5"/>
  <c r="G47" i="5" l="1"/>
  <c r="E47" i="5" s="1"/>
  <c r="G48" i="5" s="1"/>
  <c r="AD49" i="5"/>
  <c r="AB49" i="5"/>
  <c r="Y49" i="5"/>
  <c r="Z49" i="5"/>
  <c r="AA49" i="5"/>
  <c r="W50" i="5"/>
  <c r="U50" i="5" s="1"/>
  <c r="Q48" i="5"/>
  <c r="I46" i="5"/>
  <c r="J46" i="5"/>
  <c r="N46" i="5"/>
  <c r="R46" i="5" s="1"/>
  <c r="K46" i="5"/>
  <c r="L46" i="5"/>
  <c r="Z50" i="5" l="1"/>
  <c r="Z52" i="5" s="1"/>
  <c r="Z53" i="5" s="1"/>
  <c r="AB50" i="5"/>
  <c r="AB52" i="5" s="1"/>
  <c r="AB53" i="5" s="1"/>
  <c r="C61" i="5" s="1"/>
  <c r="B32" i="1" s="1"/>
  <c r="AD50" i="5"/>
  <c r="AF50" i="5" s="1"/>
  <c r="Y50" i="5"/>
  <c r="Y52" i="5" s="1"/>
  <c r="Y53" i="5" s="1"/>
  <c r="AA50" i="5"/>
  <c r="AA52" i="5" s="1"/>
  <c r="AA53" i="5" s="1"/>
  <c r="AF49" i="5"/>
  <c r="N47" i="5"/>
  <c r="R47" i="5" s="1"/>
  <c r="J47" i="5"/>
  <c r="K47" i="5"/>
  <c r="I47" i="5"/>
  <c r="L47" i="5"/>
  <c r="F48" i="5"/>
  <c r="P49" i="5" s="1"/>
  <c r="AD52" i="5" l="1"/>
  <c r="AD53" i="5" s="1"/>
  <c r="AF52" i="5"/>
  <c r="AF53" i="5" s="1"/>
  <c r="B61" i="5" s="1"/>
  <c r="C32" i="1" s="1"/>
  <c r="Q49" i="5"/>
  <c r="E48" i="5"/>
  <c r="F49" i="5" s="1"/>
  <c r="P50" i="5" s="1"/>
  <c r="Q50" i="5" l="1"/>
  <c r="Q52" i="5" s="1"/>
  <c r="Q53" i="5" s="1"/>
  <c r="G49" i="5"/>
  <c r="J48" i="5"/>
  <c r="K48" i="5"/>
  <c r="L48" i="5"/>
  <c r="I48" i="5"/>
  <c r="N48" i="5"/>
  <c r="R48" i="5" l="1"/>
  <c r="E49" i="5"/>
  <c r="F50" i="5" l="1"/>
  <c r="J49" i="5"/>
  <c r="I49" i="5"/>
  <c r="L49" i="5"/>
  <c r="K49" i="5"/>
  <c r="N49" i="5"/>
  <c r="G50" i="5"/>
  <c r="E50" i="5" l="1"/>
  <c r="R49" i="5"/>
  <c r="N50" i="5" l="1"/>
  <c r="I50" i="5"/>
  <c r="I52" i="5" s="1"/>
  <c r="I53" i="5" s="1"/>
  <c r="J50" i="5"/>
  <c r="J52" i="5" s="1"/>
  <c r="J53" i="5" s="1"/>
  <c r="K50" i="5"/>
  <c r="K52" i="5" s="1"/>
  <c r="K53" i="5" s="1"/>
  <c r="L50" i="5"/>
  <c r="L52" i="5" s="1"/>
  <c r="L53" i="5" s="1"/>
  <c r="C60" i="5" s="1"/>
  <c r="B31" i="1" l="1"/>
  <c r="C62" i="5"/>
  <c r="B33" i="1" s="1"/>
  <c r="R50" i="5"/>
  <c r="R52" i="5" s="1"/>
  <c r="R53" i="5" s="1"/>
  <c r="B60" i="5" s="1"/>
  <c r="N52" i="5"/>
  <c r="N53" i="5" s="1"/>
  <c r="B62" i="5" l="1"/>
  <c r="C31" i="1"/>
  <c r="C33" i="1" l="1"/>
  <c r="B63" i="5"/>
  <c r="D3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<sst xmlns="http://schemas.openxmlformats.org/spreadsheetml/2006/main" count="182" uniqueCount="135">
  <si>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</si>
  <si>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</si>
  <si>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</si>
  <si>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</si>
  <si>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</si>
  <si>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</si>
  <si>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</si>
  <si>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</si>
  <si>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</si>
  <si>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</si>
  <si>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</si>
  <si>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</si>
  <si>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</si>
  <si>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</si>
  <si>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</si>
  <si>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</si>
  <si>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</si>
  <si>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</si>
  <si>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</si>
  <si>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</si>
  <si>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</si>
  <si>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</si>
  <si>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</si>
  <si>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</si>
  <si>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</si>
  <si>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</si>
  <si>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</si>
  <si>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</si>
  <si>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</si>
  <si>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</si>
  <si>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</si>
  <si>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</si>
  <si>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</si>
  <si>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</si>
  <si>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</si>
  <si>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</si>
  <si>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</si>
  <si>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nDeath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</si>
  <si>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</si>
  <si>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</si>
  <si>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</si>
  <si>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</si>
  <si>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</si>
  <si>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</si>
  <si>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</si>
  <si>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</si>
  <si>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</si>
  <si>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</si>
  <si>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</si>
  <si>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</si>
  <si>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</si>
  <si>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</si>
  <si>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</si>
  <si>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</si>
  <si>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</si>
  <si>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</si>
  <si>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</si>
  <si>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</si>
  <si>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</si>
  <si>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</si>
  <si>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</si>
  <si>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</si>
  <si>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</si>
  <si>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</si>
  <si>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</si>
  <si>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</si>
  <si>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</si>
  <si>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</si>
  <si>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</si>
  <si>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</si>
  <si>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</si>
  <si>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</si>
  <si>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</si>
  <si>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</si>
  <si>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</si>
  <si>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</si>
  <si>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</si>
  <si>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</si>
  <si>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</si>
  <si>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</si>
  <si>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</si>
  <si>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</si>
  <si>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</si>
  <si>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</si>
  <si>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</si>
  <si>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</si>
  <si>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</si>
  <si>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</si>
  <si>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</si>
  <si>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</si>
  <si>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</si>
  <si>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</si>
  <si>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</si>
  <si>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</si>
  <si>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</si>
  <si>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</si>
  <si>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</si>
  <si>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</si>
  <si>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Markov Model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</si>
  <si>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</si>
  <si>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</si>
  <si>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</si>
  <si>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</si>
  <si>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</si>
  <si>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</si>
  <si>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</si>
  <si>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</si>
  <si>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</si>
  <si>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</si>
  <si>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</si>
  <si>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</si>
  <si>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</si>
  <si>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</si>
  <si>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 xml:space="preserve">Briggs A, Sculpher M.  Introducing Markov models for economic evaluation. </t>
    </r>
    <r>
      <rPr>
        <i/>
        <sz val="10"/>
        <rFont val="Arial"/>
        <family val="2"/>
      </rPr>
      <t/>
    </r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</si>
  <si>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</si>
  <si>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</si>
  <si>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</si>
  <si>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</si>
  <si>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</si>
  <si>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</si>
  <si>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</si>
  <si>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</si>
  <si>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</si>
  <si>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</si>
  <si>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</si>
  <si>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</si>
  <si>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</si>
  <si>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</si>
  <si>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</si>
  <si>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</si>
  <si>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</si>
  <si>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</si>
  <si>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</si>
  <si>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</si>
  <si>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>Restore (mean)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</si>
</sst>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68" fontId="5" fillId="0" borderId="0" xfId="0" applyNumberFormat="1" applyFon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43" fontId="0" fillId="0" borderId="0" xfId="1" applyFont="1" applyBorder="1"/>
    <xf numFmtId="168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" fillId="0" borderId="0" xfId="0" applyFont="1"/>
    <xf numFmtId="43" fontId="0" fillId="0" borderId="0" xfId="0" applyNumberFormat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</a:t>
            </a:r>
            <a:r>
              <a:rPr lang="en-GB" baseline="0"/>
              <a:t> plane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1.0404758697242436</c:v>
                </c:pt>
                <c:pt idx="1">
                  <c:v>1.3322767229841128</c:v>
                </c:pt>
                <c:pt idx="2">
                  <c:v>0.65033442260976138</c:v>
                </c:pt>
                <c:pt idx="3">
                  <c:v>0.75109185219229246</c:v>
                </c:pt>
                <c:pt idx="4">
                  <c:v>0.96088792196150585</c:v>
                </c:pt>
                <c:pt idx="5">
                  <c:v>0.87022187188621558</c:v>
                </c:pt>
                <c:pt idx="6">
                  <c:v>0.76211880611533367</c:v>
                </c:pt>
                <c:pt idx="7">
                  <c:v>0.75353559987892815</c:v>
                </c:pt>
                <c:pt idx="8">
                  <c:v>1.0270691120525424</c:v>
                </c:pt>
                <c:pt idx="9">
                  <c:v>0.82216400189966699</c:v>
                </c:pt>
                <c:pt idx="10">
                  <c:v>0.76967387460334358</c:v>
                </c:pt>
                <c:pt idx="11">
                  <c:v>0.81889675300303111</c:v>
                </c:pt>
                <c:pt idx="12">
                  <c:v>0.82397684181716535</c:v>
                </c:pt>
                <c:pt idx="13">
                  <c:v>0.84023089624473979</c:v>
                </c:pt>
                <c:pt idx="14">
                  <c:v>0.92934817325704522</c:v>
                </c:pt>
                <c:pt idx="15">
                  <c:v>1.0187325943584948</c:v>
                </c:pt>
                <c:pt idx="16">
                  <c:v>1.0780668394507265</c:v>
                </c:pt>
                <c:pt idx="17">
                  <c:v>1.034173566659307</c:v>
                </c:pt>
                <c:pt idx="18">
                  <c:v>0.80539195324131541</c:v>
                </c:pt>
                <c:pt idx="19">
                  <c:v>1.0092888125035806</c:v>
                </c:pt>
                <c:pt idx="20">
                  <c:v>1.0518279448598138</c:v>
                </c:pt>
                <c:pt idx="21">
                  <c:v>0.77518910692205001</c:v>
                </c:pt>
                <c:pt idx="22">
                  <c:v>0.90455516316373252</c:v>
                </c:pt>
                <c:pt idx="23">
                  <c:v>1.0095169406121549</c:v>
                </c:pt>
                <c:pt idx="24">
                  <c:v>0.64157646981205296</c:v>
                </c:pt>
                <c:pt idx="25">
                  <c:v>0.71430876435561075</c:v>
                </c:pt>
                <c:pt idx="26">
                  <c:v>0.80172911116840151</c:v>
                </c:pt>
                <c:pt idx="27">
                  <c:v>0.72899989167549517</c:v>
                </c:pt>
                <c:pt idx="28">
                  <c:v>1.0149530245248473</c:v>
                </c:pt>
                <c:pt idx="29">
                  <c:v>1.0503202168677168</c:v>
                </c:pt>
                <c:pt idx="30">
                  <c:v>0.87379252549386521</c:v>
                </c:pt>
                <c:pt idx="31">
                  <c:v>0.78428063011140026</c:v>
                </c:pt>
                <c:pt idx="32">
                  <c:v>0.97345949284458833</c:v>
                </c:pt>
                <c:pt idx="33">
                  <c:v>0.7682023383163461</c:v>
                </c:pt>
                <c:pt idx="34">
                  <c:v>0.47915672924965413</c:v>
                </c:pt>
                <c:pt idx="35">
                  <c:v>1.0095334622640646</c:v>
                </c:pt>
                <c:pt idx="36">
                  <c:v>0.90063804659674318</c:v>
                </c:pt>
                <c:pt idx="37">
                  <c:v>0.69046811629438309</c:v>
                </c:pt>
                <c:pt idx="38">
                  <c:v>1.0936916079616426</c:v>
                </c:pt>
                <c:pt idx="39">
                  <c:v>0.94397302704888908</c:v>
                </c:pt>
                <c:pt idx="40">
                  <c:v>0.90092742014410554</c:v>
                </c:pt>
                <c:pt idx="41">
                  <c:v>1.0989368594779014</c:v>
                </c:pt>
                <c:pt idx="42">
                  <c:v>0.86030869373628605</c:v>
                </c:pt>
                <c:pt idx="43">
                  <c:v>1.3690800373445766</c:v>
                </c:pt>
                <c:pt idx="44">
                  <c:v>0.70321360003266609</c:v>
                </c:pt>
                <c:pt idx="45">
                  <c:v>1.0331035102610482</c:v>
                </c:pt>
                <c:pt idx="46">
                  <c:v>0.83416047220657497</c:v>
                </c:pt>
                <c:pt idx="47">
                  <c:v>0.76702157342262201</c:v>
                </c:pt>
                <c:pt idx="48">
                  <c:v>0.83711257163548325</c:v>
                </c:pt>
                <c:pt idx="49">
                  <c:v>1.0042623064769254</c:v>
                </c:pt>
                <c:pt idx="50">
                  <c:v>0.85003703302783595</c:v>
                </c:pt>
                <c:pt idx="51">
                  <c:v>0.59914988156439009</c:v>
                </c:pt>
                <c:pt idx="52">
                  <c:v>0.68307900308484548</c:v>
                </c:pt>
                <c:pt idx="53">
                  <c:v>0.8622534063353875</c:v>
                </c:pt>
                <c:pt idx="54">
                  <c:v>0.98997505781226547</c:v>
                </c:pt>
                <c:pt idx="55">
                  <c:v>0.77402885957874545</c:v>
                </c:pt>
                <c:pt idx="56">
                  <c:v>0.99119686000971807</c:v>
                </c:pt>
                <c:pt idx="57">
                  <c:v>0.78379677702195583</c:v>
                </c:pt>
                <c:pt idx="58">
                  <c:v>0.79084283451267989</c:v>
                </c:pt>
                <c:pt idx="59">
                  <c:v>0.80256788041593374</c:v>
                </c:pt>
                <c:pt idx="60">
                  <c:v>0.98587019865248848</c:v>
                </c:pt>
                <c:pt idx="61">
                  <c:v>0.91653886957129416</c:v>
                </c:pt>
                <c:pt idx="62">
                  <c:v>1.1302812925033967</c:v>
                </c:pt>
                <c:pt idx="63">
                  <c:v>0.97914205713760616</c:v>
                </c:pt>
                <c:pt idx="64">
                  <c:v>0.98821980326519387</c:v>
                </c:pt>
                <c:pt idx="65">
                  <c:v>1.0306386257608526</c:v>
                </c:pt>
                <c:pt idx="66">
                  <c:v>0.76159171240913537</c:v>
                </c:pt>
                <c:pt idx="67">
                  <c:v>0.90056740361252263</c:v>
                </c:pt>
                <c:pt idx="68">
                  <c:v>0.80122729379044877</c:v>
                </c:pt>
                <c:pt idx="69">
                  <c:v>0.99742372203236407</c:v>
                </c:pt>
                <c:pt idx="70">
                  <c:v>1.0666962685635557</c:v>
                </c:pt>
                <c:pt idx="71">
                  <c:v>0.62064503928830561</c:v>
                </c:pt>
                <c:pt idx="72">
                  <c:v>0.92512546686231278</c:v>
                </c:pt>
                <c:pt idx="73">
                  <c:v>1.0692004364290026</c:v>
                </c:pt>
                <c:pt idx="74">
                  <c:v>0.74978666460018673</c:v>
                </c:pt>
                <c:pt idx="75">
                  <c:v>0.85418077387279201</c:v>
                </c:pt>
                <c:pt idx="76">
                  <c:v>0.93826435166208277</c:v>
                </c:pt>
                <c:pt idx="77">
                  <c:v>1.031516241612243</c:v>
                </c:pt>
                <c:pt idx="78">
                  <c:v>0.54763840103526018</c:v>
                </c:pt>
                <c:pt idx="79">
                  <c:v>0.95704450533588759</c:v>
                </c:pt>
                <c:pt idx="80">
                  <c:v>0.88923604204074991</c:v>
                </c:pt>
                <c:pt idx="81">
                  <c:v>0.7498187558255367</c:v>
                </c:pt>
                <c:pt idx="82">
                  <c:v>0.85295532271888419</c:v>
                </c:pt>
                <c:pt idx="83">
                  <c:v>0.74017131022245319</c:v>
                </c:pt>
                <c:pt idx="84">
                  <c:v>0.90784478966581883</c:v>
                </c:pt>
                <c:pt idx="85">
                  <c:v>0.87060925793599253</c:v>
                </c:pt>
                <c:pt idx="86">
                  <c:v>0.84002306771006552</c:v>
                </c:pt>
                <c:pt idx="87">
                  <c:v>0.6333988781942459</c:v>
                </c:pt>
                <c:pt idx="88">
                  <c:v>0.83994620289827804</c:v>
                </c:pt>
                <c:pt idx="89">
                  <c:v>0.67402327809454565</c:v>
                </c:pt>
                <c:pt idx="90">
                  <c:v>0.87134139669876909</c:v>
                </c:pt>
                <c:pt idx="91">
                  <c:v>0.86073493846059268</c:v>
                </c:pt>
                <c:pt idx="92">
                  <c:v>0.79162640092036973</c:v>
                </c:pt>
                <c:pt idx="93">
                  <c:v>0.91041119798786152</c:v>
                </c:pt>
                <c:pt idx="94">
                  <c:v>1.289413298975786</c:v>
                </c:pt>
                <c:pt idx="95">
                  <c:v>0.68269719279101793</c:v>
                </c:pt>
                <c:pt idx="96">
                  <c:v>0.63611519316981102</c:v>
                </c:pt>
                <c:pt idx="97">
                  <c:v>0.99822881193994473</c:v>
                </c:pt>
                <c:pt idx="98">
                  <c:v>0.88251301858284847</c:v>
                </c:pt>
                <c:pt idx="99">
                  <c:v>1.0401929947393134</c:v>
                </c:pt>
                <c:pt idx="100">
                  <c:v>0.88390259266707094</c:v>
                </c:pt>
                <c:pt idx="101">
                  <c:v>0.89052021417968419</c:v>
                </c:pt>
                <c:pt idx="102">
                  <c:v>0.83605412761761322</c:v>
                </c:pt>
                <c:pt idx="103">
                  <c:v>0.96028668121927474</c:v>
                </c:pt>
                <c:pt idx="104">
                  <c:v>0.74793402991522662</c:v>
                </c:pt>
                <c:pt idx="105">
                  <c:v>0.92205534333576811</c:v>
                </c:pt>
                <c:pt idx="106">
                  <c:v>0.83559154529735657</c:v>
                </c:pt>
                <c:pt idx="107">
                  <c:v>0.61880780125318324</c:v>
                </c:pt>
                <c:pt idx="108">
                  <c:v>0.78673372559361709</c:v>
                </c:pt>
                <c:pt idx="109">
                  <c:v>0.72443977188839082</c:v>
                </c:pt>
                <c:pt idx="110">
                  <c:v>0.75782127673972699</c:v>
                </c:pt>
                <c:pt idx="111">
                  <c:v>0.78116554793870918</c:v>
                </c:pt>
                <c:pt idx="112">
                  <c:v>0.76876346811807394</c:v>
                </c:pt>
                <c:pt idx="113">
                  <c:v>1.0023032301316546</c:v>
                </c:pt>
                <c:pt idx="114">
                  <c:v>0.90183041026204513</c:v>
                </c:pt>
                <c:pt idx="115">
                  <c:v>0.7026617263413133</c:v>
                </c:pt>
                <c:pt idx="116">
                  <c:v>0.66759621899931787</c:v>
                </c:pt>
                <c:pt idx="117">
                  <c:v>0.90624819554959757</c:v>
                </c:pt>
                <c:pt idx="118">
                  <c:v>1.3268694688563265</c:v>
                </c:pt>
                <c:pt idx="119">
                  <c:v>0.66409644377295329</c:v>
                </c:pt>
                <c:pt idx="120">
                  <c:v>0.86876798162456303</c:v>
                </c:pt>
                <c:pt idx="121">
                  <c:v>0.81433685563346536</c:v>
                </c:pt>
                <c:pt idx="122">
                  <c:v>0.83864336520204041</c:v>
                </c:pt>
                <c:pt idx="123">
                  <c:v>0.69087432387187597</c:v>
                </c:pt>
                <c:pt idx="124">
                  <c:v>0.86949947984308995</c:v>
                </c:pt>
                <c:pt idx="125">
                  <c:v>0.90473444243666457</c:v>
                </c:pt>
                <c:pt idx="126">
                  <c:v>0.94213277358199576</c:v>
                </c:pt>
                <c:pt idx="127">
                  <c:v>0.74651363674719029</c:v>
                </c:pt>
                <c:pt idx="128">
                  <c:v>1.2050715155755469</c:v>
                </c:pt>
                <c:pt idx="129">
                  <c:v>0.79692415513795911</c:v>
                </c:pt>
                <c:pt idx="130">
                  <c:v>0.98891854193399009</c:v>
                </c:pt>
                <c:pt idx="131">
                  <c:v>0.63701419224394495</c:v>
                </c:pt>
                <c:pt idx="132">
                  <c:v>0.81536221730952541</c:v>
                </c:pt>
                <c:pt idx="133">
                  <c:v>0.91410409348888599</c:v>
                </c:pt>
                <c:pt idx="134">
                  <c:v>0.76641753514081579</c:v>
                </c:pt>
                <c:pt idx="135">
                  <c:v>0.58171176694565041</c:v>
                </c:pt>
                <c:pt idx="136">
                  <c:v>0.82569743398116913</c:v>
                </c:pt>
                <c:pt idx="137">
                  <c:v>0.63217189658264683</c:v>
                </c:pt>
                <c:pt idx="138">
                  <c:v>1.1178508046486035</c:v>
                </c:pt>
                <c:pt idx="139">
                  <c:v>0.99873522582470642</c:v>
                </c:pt>
                <c:pt idx="140">
                  <c:v>0.98477908163487715</c:v>
                </c:pt>
                <c:pt idx="141">
                  <c:v>0.82647823137887322</c:v>
                </c:pt>
                <c:pt idx="142">
                  <c:v>0.83004397816871833</c:v>
                </c:pt>
                <c:pt idx="143">
                  <c:v>0.73877653938714438</c:v>
                </c:pt>
                <c:pt idx="144">
                  <c:v>0.82371506858702759</c:v>
                </c:pt>
                <c:pt idx="145">
                  <c:v>1.1103881321625781</c:v>
                </c:pt>
                <c:pt idx="146">
                  <c:v>0.84996374229870142</c:v>
                </c:pt>
                <c:pt idx="147">
                  <c:v>0.95511753251931886</c:v>
                </c:pt>
                <c:pt idx="148">
                  <c:v>0.78527410208272208</c:v>
                </c:pt>
                <c:pt idx="149">
                  <c:v>0.64609802595268562</c:v>
                </c:pt>
                <c:pt idx="150">
                  <c:v>0.95709441378586479</c:v>
                </c:pt>
                <c:pt idx="151">
                  <c:v>1.1759890240140445</c:v>
                </c:pt>
                <c:pt idx="152">
                  <c:v>0.51667309531875638</c:v>
                </c:pt>
                <c:pt idx="153">
                  <c:v>0.65885793620451594</c:v>
                </c:pt>
                <c:pt idx="154">
                  <c:v>0.82044521848882113</c:v>
                </c:pt>
                <c:pt idx="155">
                  <c:v>1.1895279098601321</c:v>
                </c:pt>
                <c:pt idx="156">
                  <c:v>0.72651203893910665</c:v>
                </c:pt>
                <c:pt idx="157">
                  <c:v>0.84880772397952775</c:v>
                </c:pt>
                <c:pt idx="158">
                  <c:v>0.7561947740487982</c:v>
                </c:pt>
                <c:pt idx="159">
                  <c:v>0.84489526345319987</c:v>
                </c:pt>
                <c:pt idx="160">
                  <c:v>0.8391207581658584</c:v>
                </c:pt>
                <c:pt idx="161">
                  <c:v>0.91274959261809574</c:v>
                </c:pt>
                <c:pt idx="162">
                  <c:v>0.77441743168105326</c:v>
                </c:pt>
                <c:pt idx="163">
                  <c:v>0.69256385145497923</c:v>
                </c:pt>
                <c:pt idx="164">
                  <c:v>0.79983937684519368</c:v>
                </c:pt>
                <c:pt idx="165">
                  <c:v>0.87471556190756949</c:v>
                </c:pt>
                <c:pt idx="166">
                  <c:v>0.81188397538045276</c:v>
                </c:pt>
                <c:pt idx="167">
                  <c:v>0.71636016388818824</c:v>
                </c:pt>
                <c:pt idx="168">
                  <c:v>0.81866547158254743</c:v>
                </c:pt>
                <c:pt idx="169">
                  <c:v>0.75906087536090538</c:v>
                </c:pt>
                <c:pt idx="170">
                  <c:v>0.6454862069817322</c:v>
                </c:pt>
                <c:pt idx="171">
                  <c:v>0.90418876667316184</c:v>
                </c:pt>
                <c:pt idx="172">
                  <c:v>0.64721009359262993</c:v>
                </c:pt>
                <c:pt idx="173">
                  <c:v>0.90841036083037174</c:v>
                </c:pt>
                <c:pt idx="174">
                  <c:v>1.1018602259210519</c:v>
                </c:pt>
                <c:pt idx="175">
                  <c:v>0.94049452270992617</c:v>
                </c:pt>
                <c:pt idx="176">
                  <c:v>0.71350112591736092</c:v>
                </c:pt>
                <c:pt idx="177">
                  <c:v>0.79920852349627314</c:v>
                </c:pt>
                <c:pt idx="178">
                  <c:v>1.1059035747672956</c:v>
                </c:pt>
                <c:pt idx="179">
                  <c:v>1.0050352742956825</c:v>
                </c:pt>
                <c:pt idx="180">
                  <c:v>1.0627815308841653</c:v>
                </c:pt>
                <c:pt idx="181">
                  <c:v>1.0058678477554093</c:v>
                </c:pt>
                <c:pt idx="182">
                  <c:v>0.72161883323107201</c:v>
                </c:pt>
                <c:pt idx="183">
                  <c:v>0.70613657545735808</c:v>
                </c:pt>
                <c:pt idx="184">
                  <c:v>0.83828429097957802</c:v>
                </c:pt>
                <c:pt idx="185">
                  <c:v>1.1686287728149232</c:v>
                </c:pt>
                <c:pt idx="186">
                  <c:v>1.0104605556636068</c:v>
                </c:pt>
                <c:pt idx="187">
                  <c:v>0.78682015456243004</c:v>
                </c:pt>
                <c:pt idx="188">
                  <c:v>0.74356006069247016</c:v>
                </c:pt>
                <c:pt idx="189">
                  <c:v>0.86757789135638497</c:v>
                </c:pt>
                <c:pt idx="190">
                  <c:v>0.73182462860173558</c:v>
                </c:pt>
                <c:pt idx="191">
                  <c:v>1.0262082167631572</c:v>
                </c:pt>
                <c:pt idx="192">
                  <c:v>1.0112136217512493</c:v>
                </c:pt>
                <c:pt idx="193">
                  <c:v>0.79077190858280488</c:v>
                </c:pt>
                <c:pt idx="194">
                  <c:v>1.0549953088207316</c:v>
                </c:pt>
                <c:pt idx="195">
                  <c:v>0.89118708495094268</c:v>
                </c:pt>
                <c:pt idx="196">
                  <c:v>0.56003775677850953</c:v>
                </c:pt>
                <c:pt idx="197">
                  <c:v>0.95904689791983966</c:v>
                </c:pt>
                <c:pt idx="198">
                  <c:v>0.68236588332892545</c:v>
                </c:pt>
                <c:pt idx="199">
                  <c:v>1.0439655229056886</c:v>
                </c:pt>
                <c:pt idx="200">
                  <c:v>0.72045752123817408</c:v>
                </c:pt>
                <c:pt idx="201">
                  <c:v>0.86768249957769239</c:v>
                </c:pt>
                <c:pt idx="202">
                  <c:v>0.91452453163181957</c:v>
                </c:pt>
                <c:pt idx="203">
                  <c:v>0.95253119054670776</c:v>
                </c:pt>
                <c:pt idx="204">
                  <c:v>0.93010954345341368</c:v>
                </c:pt>
                <c:pt idx="205">
                  <c:v>0.82913593008822062</c:v>
                </c:pt>
                <c:pt idx="206">
                  <c:v>0.9598086646594437</c:v>
                </c:pt>
                <c:pt idx="207">
                  <c:v>0.73350140976626932</c:v>
                </c:pt>
                <c:pt idx="208">
                  <c:v>1.0098805527384593</c:v>
                </c:pt>
                <c:pt idx="209">
                  <c:v>0.69779020867392028</c:v>
                </c:pt>
                <c:pt idx="210">
                  <c:v>1.1228189908174944</c:v>
                </c:pt>
                <c:pt idx="211">
                  <c:v>0.77840913047328542</c:v>
                </c:pt>
                <c:pt idx="212">
                  <c:v>0.64378273933680763</c:v>
                </c:pt>
                <c:pt idx="213">
                  <c:v>0.81547678222927011</c:v>
                </c:pt>
                <c:pt idx="214">
                  <c:v>0.8396589229822542</c:v>
                </c:pt>
                <c:pt idx="215">
                  <c:v>0.79415096351040937</c:v>
                </c:pt>
                <c:pt idx="216">
                  <c:v>0.80040048604394975</c:v>
                </c:pt>
                <c:pt idx="217">
                  <c:v>0.76328479654463699</c:v>
                </c:pt>
                <c:pt idx="218">
                  <c:v>0.61692377516614094</c:v>
                </c:pt>
                <c:pt idx="219">
                  <c:v>0.92489147253779347</c:v>
                </c:pt>
                <c:pt idx="220">
                  <c:v>1.006940179831739</c:v>
                </c:pt>
                <c:pt idx="221">
                  <c:v>0.86072153394500983</c:v>
                </c:pt>
                <c:pt idx="222">
                  <c:v>0.97969099679226446</c:v>
                </c:pt>
                <c:pt idx="223">
                  <c:v>0.95526253290312724</c:v>
                </c:pt>
                <c:pt idx="224">
                  <c:v>0.74751924042254547</c:v>
                </c:pt>
                <c:pt idx="225">
                  <c:v>0.80599348197944209</c:v>
                </c:pt>
                <c:pt idx="226">
                  <c:v>1.0461722108360556</c:v>
                </c:pt>
                <c:pt idx="227">
                  <c:v>1.0390862413691648</c:v>
                </c:pt>
                <c:pt idx="228">
                  <c:v>0.94172210034080361</c:v>
                </c:pt>
                <c:pt idx="229">
                  <c:v>0.57477517372484144</c:v>
                </c:pt>
                <c:pt idx="230">
                  <c:v>0.64528470821321449</c:v>
                </c:pt>
                <c:pt idx="231">
                  <c:v>0.74512062323032069</c:v>
                </c:pt>
                <c:pt idx="232">
                  <c:v>0.70852990610120337</c:v>
                </c:pt>
                <c:pt idx="233">
                  <c:v>1.030473317905269</c:v>
                </c:pt>
                <c:pt idx="234">
                  <c:v>0.63125531739445506</c:v>
                </c:pt>
                <c:pt idx="235">
                  <c:v>0.95594576677187426</c:v>
                </c:pt>
                <c:pt idx="236">
                  <c:v>0.99756895072302232</c:v>
                </c:pt>
                <c:pt idx="237">
                  <c:v>0.81824356595980685</c:v>
                </c:pt>
                <c:pt idx="238">
                  <c:v>1.1836830315615163</c:v>
                </c:pt>
                <c:pt idx="239">
                  <c:v>1.037461886814615</c:v>
                </c:pt>
                <c:pt idx="240">
                  <c:v>1.0481931018330402</c:v>
                </c:pt>
                <c:pt idx="241">
                  <c:v>0.83477192001033096</c:v>
                </c:pt>
                <c:pt idx="242">
                  <c:v>0.79058460839020661</c:v>
                </c:pt>
                <c:pt idx="243">
                  <c:v>0.65087346998092332</c:v>
                </c:pt>
                <c:pt idx="244">
                  <c:v>0.73373179429163216</c:v>
                </c:pt>
                <c:pt idx="245">
                  <c:v>0.7461618012978608</c:v>
                </c:pt>
                <c:pt idx="246">
                  <c:v>0.70530244279108256</c:v>
                </c:pt>
                <c:pt idx="247">
                  <c:v>0.95990950326067992</c:v>
                </c:pt>
                <c:pt idx="248">
                  <c:v>0.87668172096074048</c:v>
                </c:pt>
                <c:pt idx="249">
                  <c:v>0.64256100388203485</c:v>
                </c:pt>
                <c:pt idx="250">
                  <c:v>0.71681488569743834</c:v>
                </c:pt>
                <c:pt idx="251">
                  <c:v>1.0500309005471102</c:v>
                </c:pt>
                <c:pt idx="252">
                  <c:v>0.73734814121747405</c:v>
                </c:pt>
                <c:pt idx="253">
                  <c:v>0.85814521957472856</c:v>
                </c:pt>
                <c:pt idx="254">
                  <c:v>0.75746427130667549</c:v>
                </c:pt>
                <c:pt idx="255">
                  <c:v>0.95043235870470166</c:v>
                </c:pt>
                <c:pt idx="256">
                  <c:v>0.73767433781266867</c:v>
                </c:pt>
                <c:pt idx="257">
                  <c:v>0.85623822619691303</c:v>
                </c:pt>
                <c:pt idx="258">
                  <c:v>0.95063985353870351</c:v>
                </c:pt>
                <c:pt idx="259">
                  <c:v>0.96613614494891742</c:v>
                </c:pt>
                <c:pt idx="260">
                  <c:v>0.75791700710732535</c:v>
                </c:pt>
                <c:pt idx="261">
                  <c:v>0.8377709305090093</c:v>
                </c:pt>
                <c:pt idx="262">
                  <c:v>0.68125756043488206</c:v>
                </c:pt>
                <c:pt idx="263">
                  <c:v>0.72993046812341156</c:v>
                </c:pt>
                <c:pt idx="264">
                  <c:v>1.2045090914018761</c:v>
                </c:pt>
                <c:pt idx="265">
                  <c:v>0.84991430452304328</c:v>
                </c:pt>
                <c:pt idx="266">
                  <c:v>0.59679478939447428</c:v>
                </c:pt>
                <c:pt idx="267">
                  <c:v>0.82199621874162254</c:v>
                </c:pt>
                <c:pt idx="268">
                  <c:v>0.66332471768893519</c:v>
                </c:pt>
                <c:pt idx="269">
                  <c:v>0.67747420289827254</c:v>
                </c:pt>
                <c:pt idx="270">
                  <c:v>0.87363962823962549</c:v>
                </c:pt>
                <c:pt idx="271">
                  <c:v>0.66722158852164171</c:v>
                </c:pt>
                <c:pt idx="272">
                  <c:v>1.064732514892297</c:v>
                </c:pt>
                <c:pt idx="273">
                  <c:v>0.89135402095719485</c:v>
                </c:pt>
                <c:pt idx="274">
                  <c:v>1.0694026128269645</c:v>
                </c:pt>
                <c:pt idx="275">
                  <c:v>0.6443440561953846</c:v>
                </c:pt>
                <c:pt idx="276">
                  <c:v>0.82557072221503081</c:v>
                </c:pt>
                <c:pt idx="277">
                  <c:v>0.58448280212686221</c:v>
                </c:pt>
                <c:pt idx="278">
                  <c:v>0.66949313903997343</c:v>
                </c:pt>
                <c:pt idx="279">
                  <c:v>1.1224681639730845</c:v>
                </c:pt>
                <c:pt idx="280">
                  <c:v>0.81571062137142025</c:v>
                </c:pt>
                <c:pt idx="281">
                  <c:v>0.79728153311665917</c:v>
                </c:pt>
                <c:pt idx="282">
                  <c:v>0.86567162184481283</c:v>
                </c:pt>
                <c:pt idx="283">
                  <c:v>1.0333610611700976</c:v>
                </c:pt>
                <c:pt idx="284">
                  <c:v>0.98909576526733289</c:v>
                </c:pt>
                <c:pt idx="285">
                  <c:v>0.61216974294024062</c:v>
                </c:pt>
                <c:pt idx="286">
                  <c:v>0.88522634358735353</c:v>
                </c:pt>
                <c:pt idx="287">
                  <c:v>0.61111826056894358</c:v>
                </c:pt>
                <c:pt idx="288">
                  <c:v>0.70918596959988633</c:v>
                </c:pt>
                <c:pt idx="289">
                  <c:v>0.68142180400932872</c:v>
                </c:pt>
                <c:pt idx="290">
                  <c:v>0.73597366396808184</c:v>
                </c:pt>
                <c:pt idx="291">
                  <c:v>0.8765058321682222</c:v>
                </c:pt>
                <c:pt idx="292">
                  <c:v>0.88147911729496009</c:v>
                </c:pt>
                <c:pt idx="293">
                  <c:v>0.73847196995044406</c:v>
                </c:pt>
                <c:pt idx="294">
                  <c:v>0.83569671696520498</c:v>
                </c:pt>
                <c:pt idx="295">
                  <c:v>0.83514433910034302</c:v>
                </c:pt>
                <c:pt idx="296">
                  <c:v>0.72250778009021666</c:v>
                </c:pt>
                <c:pt idx="297">
                  <c:v>0.67309647957425423</c:v>
                </c:pt>
                <c:pt idx="298">
                  <c:v>0.64258904802923578</c:v>
                </c:pt>
                <c:pt idx="299">
                  <c:v>0.78059718796060018</c:v>
                </c:pt>
                <c:pt idx="300">
                  <c:v>0.66875524736794656</c:v>
                </c:pt>
                <c:pt idx="301">
                  <c:v>0.79022559179232665</c:v>
                </c:pt>
                <c:pt idx="302">
                  <c:v>0.90176563987771541</c:v>
                </c:pt>
                <c:pt idx="303">
                  <c:v>0.80859485952297394</c:v>
                </c:pt>
                <c:pt idx="304">
                  <c:v>0.7112173448544814</c:v>
                </c:pt>
                <c:pt idx="305">
                  <c:v>0.75389793652916204</c:v>
                </c:pt>
                <c:pt idx="306">
                  <c:v>0.77502752382986451</c:v>
                </c:pt>
                <c:pt idx="307">
                  <c:v>0.91973083723999327</c:v>
                </c:pt>
                <c:pt idx="308">
                  <c:v>0.95194627356901851</c:v>
                </c:pt>
                <c:pt idx="309">
                  <c:v>0.73887491284130746</c:v>
                </c:pt>
                <c:pt idx="310">
                  <c:v>0.87272101150030856</c:v>
                </c:pt>
                <c:pt idx="311">
                  <c:v>0.5546346803174611</c:v>
                </c:pt>
                <c:pt idx="312">
                  <c:v>1.0749844757823706</c:v>
                </c:pt>
                <c:pt idx="313">
                  <c:v>0.90264923328997959</c:v>
                </c:pt>
                <c:pt idx="314">
                  <c:v>0.64486926252948162</c:v>
                </c:pt>
                <c:pt idx="315">
                  <c:v>0.88623132561453666</c:v>
                </c:pt>
                <c:pt idx="316">
                  <c:v>1.0510583664303148</c:v>
                </c:pt>
                <c:pt idx="317">
                  <c:v>0.91070339355500707</c:v>
                </c:pt>
                <c:pt idx="318">
                  <c:v>0.63357564834271773</c:v>
                </c:pt>
                <c:pt idx="319">
                  <c:v>0.67253706982271488</c:v>
                </c:pt>
                <c:pt idx="320">
                  <c:v>0.70342926970340613</c:v>
                </c:pt>
                <c:pt idx="321">
                  <c:v>0.8253489305212538</c:v>
                </c:pt>
                <c:pt idx="322">
                  <c:v>0.94261710577662949</c:v>
                </c:pt>
                <c:pt idx="323">
                  <c:v>0.59560065253926808</c:v>
                </c:pt>
                <c:pt idx="324">
                  <c:v>0.81544102819346342</c:v>
                </c:pt>
                <c:pt idx="325">
                  <c:v>0.93418463084445058</c:v>
                </c:pt>
                <c:pt idx="326">
                  <c:v>0.84415368528765633</c:v>
                </c:pt>
                <c:pt idx="327">
                  <c:v>0.77066872367214145</c:v>
                </c:pt>
                <c:pt idx="328">
                  <c:v>0.86454950541663322</c:v>
                </c:pt>
                <c:pt idx="329">
                  <c:v>0.76880697503603734</c:v>
                </c:pt>
                <c:pt idx="330">
                  <c:v>0.64499912045258334</c:v>
                </c:pt>
                <c:pt idx="331">
                  <c:v>0.87686437354897784</c:v>
                </c:pt>
                <c:pt idx="332">
                  <c:v>0.72495456915535872</c:v>
                </c:pt>
                <c:pt idx="333">
                  <c:v>0.78875054696208213</c:v>
                </c:pt>
                <c:pt idx="334">
                  <c:v>0.93818077783915754</c:v>
                </c:pt>
                <c:pt idx="335">
                  <c:v>1.137723672271898</c:v>
                </c:pt>
                <c:pt idx="336">
                  <c:v>0.8832582932369597</c:v>
                </c:pt>
                <c:pt idx="337">
                  <c:v>0.7535623609634019</c:v>
                </c:pt>
                <c:pt idx="338">
                  <c:v>0.76139384487743822</c:v>
                </c:pt>
                <c:pt idx="339">
                  <c:v>0.85258745908265343</c:v>
                </c:pt>
                <c:pt idx="340">
                  <c:v>0.60233052516249863</c:v>
                </c:pt>
                <c:pt idx="341">
                  <c:v>0.98442130353481794</c:v>
                </c:pt>
                <c:pt idx="342">
                  <c:v>0.94125764790561917</c:v>
                </c:pt>
                <c:pt idx="343">
                  <c:v>1.1738343278202432</c:v>
                </c:pt>
                <c:pt idx="344">
                  <c:v>0.82396780935307401</c:v>
                </c:pt>
                <c:pt idx="345">
                  <c:v>1.1575133941397073</c:v>
                </c:pt>
                <c:pt idx="346">
                  <c:v>0.85452934060952934</c:v>
                </c:pt>
                <c:pt idx="347">
                  <c:v>0.81987141593929458</c:v>
                </c:pt>
                <c:pt idx="348">
                  <c:v>0.80453395796723193</c:v>
                </c:pt>
                <c:pt idx="349">
                  <c:v>1.038821798442247</c:v>
                </c:pt>
                <c:pt idx="350">
                  <c:v>0.96831001882179812</c:v>
                </c:pt>
                <c:pt idx="351">
                  <c:v>0.91384835064947811</c:v>
                </c:pt>
                <c:pt idx="352">
                  <c:v>0.67107468416940108</c:v>
                </c:pt>
                <c:pt idx="353">
                  <c:v>0.85049527309445683</c:v>
                </c:pt>
                <c:pt idx="354">
                  <c:v>0.87595676891597218</c:v>
                </c:pt>
                <c:pt idx="355">
                  <c:v>0.91997755123255143</c:v>
                </c:pt>
                <c:pt idx="356">
                  <c:v>0.78205023785052674</c:v>
                </c:pt>
                <c:pt idx="357">
                  <c:v>1.2601187335016011</c:v>
                </c:pt>
                <c:pt idx="358">
                  <c:v>1.0717787592935135</c:v>
                </c:pt>
                <c:pt idx="359">
                  <c:v>0.97715134217034194</c:v>
                </c:pt>
                <c:pt idx="360">
                  <c:v>0.92169331483959116</c:v>
                </c:pt>
                <c:pt idx="361">
                  <c:v>0.95110875715415766</c:v>
                </c:pt>
                <c:pt idx="362">
                  <c:v>0.94954420804614514</c:v>
                </c:pt>
                <c:pt idx="363">
                  <c:v>0.73425809081938986</c:v>
                </c:pt>
                <c:pt idx="364">
                  <c:v>0.88167333844081064</c:v>
                </c:pt>
                <c:pt idx="365">
                  <c:v>0.79040458488035981</c:v>
                </c:pt>
                <c:pt idx="366">
                  <c:v>0.73092082040847028</c:v>
                </c:pt>
                <c:pt idx="367">
                  <c:v>0.97506653923068853</c:v>
                </c:pt>
                <c:pt idx="368">
                  <c:v>0.54722878747864634</c:v>
                </c:pt>
                <c:pt idx="369">
                  <c:v>0.91134423921344432</c:v>
                </c:pt>
                <c:pt idx="370">
                  <c:v>0.7838394678932481</c:v>
                </c:pt>
                <c:pt idx="371">
                  <c:v>1.1932578729379388</c:v>
                </c:pt>
                <c:pt idx="372">
                  <c:v>0.85485155499008414</c:v>
                </c:pt>
                <c:pt idx="373">
                  <c:v>0.58740403601933266</c:v>
                </c:pt>
                <c:pt idx="374">
                  <c:v>0.62660055777732637</c:v>
                </c:pt>
                <c:pt idx="375">
                  <c:v>1.0397168870735563</c:v>
                </c:pt>
                <c:pt idx="376">
                  <c:v>0.55549414135742481</c:v>
                </c:pt>
                <c:pt idx="377">
                  <c:v>0.89042042687524159</c:v>
                </c:pt>
                <c:pt idx="378">
                  <c:v>0.78167873488548167</c:v>
                </c:pt>
                <c:pt idx="379">
                  <c:v>0.85074490948383641</c:v>
                </c:pt>
                <c:pt idx="380">
                  <c:v>0.66714963453255471</c:v>
                </c:pt>
                <c:pt idx="381">
                  <c:v>0.97189651165602697</c:v>
                </c:pt>
                <c:pt idx="382">
                  <c:v>0.78254824510394005</c:v>
                </c:pt>
                <c:pt idx="383">
                  <c:v>0.84597514967865894</c:v>
                </c:pt>
                <c:pt idx="384">
                  <c:v>0.63500901885731409</c:v>
                </c:pt>
                <c:pt idx="385">
                  <c:v>0.99002762098598396</c:v>
                </c:pt>
                <c:pt idx="386">
                  <c:v>0.70530224780436157</c:v>
                </c:pt>
                <c:pt idx="387">
                  <c:v>1.012079901846155</c:v>
                </c:pt>
                <c:pt idx="388">
                  <c:v>0.67054923487864038</c:v>
                </c:pt>
                <c:pt idx="389">
                  <c:v>0.66118181780476171</c:v>
                </c:pt>
                <c:pt idx="390">
                  <c:v>1.0371248645327471</c:v>
                </c:pt>
                <c:pt idx="391">
                  <c:v>1.0319771265813955</c:v>
                </c:pt>
                <c:pt idx="392">
                  <c:v>0.75095475342191609</c:v>
                </c:pt>
                <c:pt idx="393">
                  <c:v>0.77052959732598758</c:v>
                </c:pt>
                <c:pt idx="394">
                  <c:v>0.78960220021041749</c:v>
                </c:pt>
                <c:pt idx="395">
                  <c:v>0.89873568048818697</c:v>
                </c:pt>
                <c:pt idx="396">
                  <c:v>0.74464445913773147</c:v>
                </c:pt>
                <c:pt idx="397">
                  <c:v>0.76509206743736513</c:v>
                </c:pt>
                <c:pt idx="398">
                  <c:v>0.68226969591990105</c:v>
                </c:pt>
                <c:pt idx="399">
                  <c:v>0.82360721693120453</c:v>
                </c:pt>
                <c:pt idx="400">
                  <c:v>0.93096968638988642</c:v>
                </c:pt>
                <c:pt idx="401">
                  <c:v>0.78754733502752217</c:v>
                </c:pt>
                <c:pt idx="402">
                  <c:v>0.72952316876713752</c:v>
                </c:pt>
                <c:pt idx="403">
                  <c:v>0.80829972304981723</c:v>
                </c:pt>
                <c:pt idx="404">
                  <c:v>0.92476151207065005</c:v>
                </c:pt>
                <c:pt idx="405">
                  <c:v>0.9578725061958826</c:v>
                </c:pt>
                <c:pt idx="406">
                  <c:v>1.1213569547990687</c:v>
                </c:pt>
                <c:pt idx="407">
                  <c:v>0.70237186316955036</c:v>
                </c:pt>
                <c:pt idx="408">
                  <c:v>0.70031822012998113</c:v>
                </c:pt>
                <c:pt idx="409">
                  <c:v>0.77556492064616833</c:v>
                </c:pt>
                <c:pt idx="410">
                  <c:v>0.55764966633717705</c:v>
                </c:pt>
                <c:pt idx="411">
                  <c:v>1.0893239573559867</c:v>
                </c:pt>
                <c:pt idx="412">
                  <c:v>0.67717880403200326</c:v>
                </c:pt>
                <c:pt idx="413">
                  <c:v>0.90945786713720533</c:v>
                </c:pt>
                <c:pt idx="414">
                  <c:v>1.0138709288178891</c:v>
                </c:pt>
                <c:pt idx="415">
                  <c:v>0.74109267857780203</c:v>
                </c:pt>
                <c:pt idx="416">
                  <c:v>1.1038707123060405</c:v>
                </c:pt>
                <c:pt idx="417">
                  <c:v>1.1223669287482574</c:v>
                </c:pt>
                <c:pt idx="418">
                  <c:v>0.79077182527984569</c:v>
                </c:pt>
                <c:pt idx="419">
                  <c:v>0.78237056073627631</c:v>
                </c:pt>
                <c:pt idx="420">
                  <c:v>0.97314956517893592</c:v>
                </c:pt>
                <c:pt idx="421">
                  <c:v>0.78134952889700493</c:v>
                </c:pt>
                <c:pt idx="422">
                  <c:v>0.74051134260356655</c:v>
                </c:pt>
                <c:pt idx="423">
                  <c:v>0.92727380137562587</c:v>
                </c:pt>
                <c:pt idx="424">
                  <c:v>0.73570046282532076</c:v>
                </c:pt>
                <c:pt idx="425">
                  <c:v>0.88077010775493214</c:v>
                </c:pt>
                <c:pt idx="426">
                  <c:v>0.63427537255298816</c:v>
                </c:pt>
                <c:pt idx="427">
                  <c:v>0.77500366548148492</c:v>
                </c:pt>
                <c:pt idx="428">
                  <c:v>0.69958583829854426</c:v>
                </c:pt>
                <c:pt idx="429">
                  <c:v>0.94590687499929782</c:v>
                </c:pt>
                <c:pt idx="430">
                  <c:v>1.0816202567037569</c:v>
                </c:pt>
                <c:pt idx="431">
                  <c:v>1.08064629015613</c:v>
                </c:pt>
                <c:pt idx="432">
                  <c:v>0.86637558357171862</c:v>
                </c:pt>
                <c:pt idx="433">
                  <c:v>1.0112195781708708</c:v>
                </c:pt>
                <c:pt idx="434">
                  <c:v>0.82570260274045548</c:v>
                </c:pt>
                <c:pt idx="435">
                  <c:v>0.69756814859306182</c:v>
                </c:pt>
                <c:pt idx="436">
                  <c:v>1.1314960075525766</c:v>
                </c:pt>
                <c:pt idx="437">
                  <c:v>0.82721401438568609</c:v>
                </c:pt>
                <c:pt idx="438">
                  <c:v>0.75252368532666214</c:v>
                </c:pt>
                <c:pt idx="439">
                  <c:v>0.9452088372041656</c:v>
                </c:pt>
                <c:pt idx="440">
                  <c:v>0.70484778532319048</c:v>
                </c:pt>
                <c:pt idx="441">
                  <c:v>1.0794394763734063</c:v>
                </c:pt>
                <c:pt idx="442">
                  <c:v>0.72544136973998086</c:v>
                </c:pt>
                <c:pt idx="443">
                  <c:v>1.0363765660008903</c:v>
                </c:pt>
                <c:pt idx="444">
                  <c:v>0.95824530675204134</c:v>
                </c:pt>
                <c:pt idx="445">
                  <c:v>0.88976391270967436</c:v>
                </c:pt>
                <c:pt idx="446">
                  <c:v>0.94144977546763098</c:v>
                </c:pt>
                <c:pt idx="447">
                  <c:v>0.76930215813430625</c:v>
                </c:pt>
                <c:pt idx="448">
                  <c:v>0.67047054023961383</c:v>
                </c:pt>
                <c:pt idx="449">
                  <c:v>0.72741762039175129</c:v>
                </c:pt>
                <c:pt idx="450">
                  <c:v>0.87631450520617094</c:v>
                </c:pt>
                <c:pt idx="451">
                  <c:v>1.0804779280581105</c:v>
                </c:pt>
                <c:pt idx="452">
                  <c:v>0.83435558979619717</c:v>
                </c:pt>
                <c:pt idx="453">
                  <c:v>0.66038278623123237</c:v>
                </c:pt>
                <c:pt idx="454">
                  <c:v>1.0331910501983979</c:v>
                </c:pt>
                <c:pt idx="455">
                  <c:v>0.72966491095656494</c:v>
                </c:pt>
                <c:pt idx="456">
                  <c:v>0.83449334630930405</c:v>
                </c:pt>
                <c:pt idx="457">
                  <c:v>1.0135931081576892</c:v>
                </c:pt>
                <c:pt idx="458">
                  <c:v>0.88595605178739767</c:v>
                </c:pt>
                <c:pt idx="459">
                  <c:v>0.86257308796566878</c:v>
                </c:pt>
                <c:pt idx="460">
                  <c:v>0.92772013307469159</c:v>
                </c:pt>
                <c:pt idx="461">
                  <c:v>0.69906595661339388</c:v>
                </c:pt>
                <c:pt idx="462">
                  <c:v>0.83704920369445723</c:v>
                </c:pt>
                <c:pt idx="463">
                  <c:v>0.85018408541390134</c:v>
                </c:pt>
                <c:pt idx="464">
                  <c:v>0.78485343489472292</c:v>
                </c:pt>
                <c:pt idx="465">
                  <c:v>0.8082341200915506</c:v>
                </c:pt>
                <c:pt idx="466">
                  <c:v>1.1055980027916847</c:v>
                </c:pt>
                <c:pt idx="467">
                  <c:v>0.60499217566341734</c:v>
                </c:pt>
                <c:pt idx="468">
                  <c:v>0.69795559926245332</c:v>
                </c:pt>
                <c:pt idx="469">
                  <c:v>0.89080875755287803</c:v>
                </c:pt>
                <c:pt idx="470">
                  <c:v>0.76451622770140926</c:v>
                </c:pt>
                <c:pt idx="471">
                  <c:v>0.90101077238647509</c:v>
                </c:pt>
                <c:pt idx="472">
                  <c:v>0.92492604727149796</c:v>
                </c:pt>
                <c:pt idx="473">
                  <c:v>0.86258214591352722</c:v>
                </c:pt>
                <c:pt idx="474">
                  <c:v>0.9081847689700755</c:v>
                </c:pt>
                <c:pt idx="475">
                  <c:v>0.75095532439569546</c:v>
                </c:pt>
                <c:pt idx="476">
                  <c:v>0.83875429006720204</c:v>
                </c:pt>
                <c:pt idx="477">
                  <c:v>0.6843252858019806</c:v>
                </c:pt>
                <c:pt idx="478">
                  <c:v>1.0329787131500545</c:v>
                </c:pt>
                <c:pt idx="479">
                  <c:v>0.74750502700306587</c:v>
                </c:pt>
                <c:pt idx="480">
                  <c:v>1.1381251325334087</c:v>
                </c:pt>
                <c:pt idx="481">
                  <c:v>0.63912469215996381</c:v>
                </c:pt>
                <c:pt idx="482">
                  <c:v>0.80451699118542397</c:v>
                </c:pt>
                <c:pt idx="483">
                  <c:v>0.86147190986276811</c:v>
                </c:pt>
                <c:pt idx="484">
                  <c:v>0.61268442775582876</c:v>
                </c:pt>
                <c:pt idx="485">
                  <c:v>0.86986884425561151</c:v>
                </c:pt>
                <c:pt idx="486">
                  <c:v>0.77399860812636234</c:v>
                </c:pt>
                <c:pt idx="487">
                  <c:v>0.96613823314311009</c:v>
                </c:pt>
                <c:pt idx="488">
                  <c:v>0.69765108872171311</c:v>
                </c:pt>
                <c:pt idx="489">
                  <c:v>0.63911095871382884</c:v>
                </c:pt>
                <c:pt idx="490">
                  <c:v>1.0497587327897433</c:v>
                </c:pt>
                <c:pt idx="491">
                  <c:v>0.95349491625317384</c:v>
                </c:pt>
                <c:pt idx="492">
                  <c:v>1.1178662054903246</c:v>
                </c:pt>
                <c:pt idx="493">
                  <c:v>1.0373246697981209</c:v>
                </c:pt>
                <c:pt idx="494">
                  <c:v>0.67370290586034987</c:v>
                </c:pt>
                <c:pt idx="495">
                  <c:v>0.92833151923403712</c:v>
                </c:pt>
                <c:pt idx="496">
                  <c:v>1.1534024824722549</c:v>
                </c:pt>
                <c:pt idx="497">
                  <c:v>0.95807581256115792</c:v>
                </c:pt>
                <c:pt idx="498">
                  <c:v>0.76108868381667882</c:v>
                </c:pt>
                <c:pt idx="499">
                  <c:v>0.94979285244846601</c:v>
                </c:pt>
                <c:pt idx="500">
                  <c:v>0.98665940626303694</c:v>
                </c:pt>
                <c:pt idx="501">
                  <c:v>0.86386730241278542</c:v>
                </c:pt>
                <c:pt idx="502">
                  <c:v>0.75336594881706276</c:v>
                </c:pt>
                <c:pt idx="503">
                  <c:v>0.79799277081679776</c:v>
                </c:pt>
                <c:pt idx="504">
                  <c:v>0.86005634419112376</c:v>
                </c:pt>
                <c:pt idx="505">
                  <c:v>0.80420550262843005</c:v>
                </c:pt>
                <c:pt idx="506">
                  <c:v>0.99606662939840529</c:v>
                </c:pt>
                <c:pt idx="507">
                  <c:v>0.91129854554361245</c:v>
                </c:pt>
                <c:pt idx="508">
                  <c:v>0.96874157346364598</c:v>
                </c:pt>
                <c:pt idx="509">
                  <c:v>0.81896800988749874</c:v>
                </c:pt>
                <c:pt idx="510">
                  <c:v>1.1413631251505887</c:v>
                </c:pt>
                <c:pt idx="511">
                  <c:v>0.89021029500869719</c:v>
                </c:pt>
                <c:pt idx="512">
                  <c:v>0.72643371840426951</c:v>
                </c:pt>
                <c:pt idx="513">
                  <c:v>0.42806671779685246</c:v>
                </c:pt>
                <c:pt idx="514">
                  <c:v>1.0642367911393062</c:v>
                </c:pt>
                <c:pt idx="515">
                  <c:v>0.78124418259515593</c:v>
                </c:pt>
                <c:pt idx="516">
                  <c:v>1.0321613626877895</c:v>
                </c:pt>
                <c:pt idx="517">
                  <c:v>1.0377217877303968</c:v>
                </c:pt>
                <c:pt idx="518">
                  <c:v>0.75836759442038471</c:v>
                </c:pt>
                <c:pt idx="519">
                  <c:v>0.9745444416734248</c:v>
                </c:pt>
                <c:pt idx="520">
                  <c:v>0.98992939747440278</c:v>
                </c:pt>
                <c:pt idx="521">
                  <c:v>0.78880602600415095</c:v>
                </c:pt>
                <c:pt idx="522">
                  <c:v>0.68757493073297127</c:v>
                </c:pt>
                <c:pt idx="523">
                  <c:v>0.91637212851552974</c:v>
                </c:pt>
                <c:pt idx="524">
                  <c:v>0.85453356796022018</c:v>
                </c:pt>
                <c:pt idx="525">
                  <c:v>0.80387631145389449</c:v>
                </c:pt>
                <c:pt idx="526">
                  <c:v>0.99128957961874864</c:v>
                </c:pt>
                <c:pt idx="527">
                  <c:v>0.98978280113027051</c:v>
                </c:pt>
                <c:pt idx="528">
                  <c:v>1.1645170597944183</c:v>
                </c:pt>
                <c:pt idx="529">
                  <c:v>1.0271664902282449</c:v>
                </c:pt>
                <c:pt idx="530">
                  <c:v>0.94830668562673548</c:v>
                </c:pt>
                <c:pt idx="531">
                  <c:v>0.80206912301876976</c:v>
                </c:pt>
                <c:pt idx="532">
                  <c:v>0.75314694439667207</c:v>
                </c:pt>
                <c:pt idx="533">
                  <c:v>0.56729350238572174</c:v>
                </c:pt>
                <c:pt idx="534">
                  <c:v>0.73964157531714569</c:v>
                </c:pt>
                <c:pt idx="535">
                  <c:v>0.89284445916742339</c:v>
                </c:pt>
                <c:pt idx="536">
                  <c:v>0.82646522555619217</c:v>
                </c:pt>
                <c:pt idx="537">
                  <c:v>0.92545899565950762</c:v>
                </c:pt>
                <c:pt idx="538">
                  <c:v>0.86495001973285746</c:v>
                </c:pt>
                <c:pt idx="539">
                  <c:v>0.91260846942017615</c:v>
                </c:pt>
                <c:pt idx="540">
                  <c:v>0.78044501435349467</c:v>
                </c:pt>
                <c:pt idx="541">
                  <c:v>0.58530418600841294</c:v>
                </c:pt>
                <c:pt idx="542">
                  <c:v>1.1158850680594439</c:v>
                </c:pt>
                <c:pt idx="543">
                  <c:v>1.0439137506652605</c:v>
                </c:pt>
                <c:pt idx="544">
                  <c:v>0.82079747088941346</c:v>
                </c:pt>
                <c:pt idx="545">
                  <c:v>0.90758785967276889</c:v>
                </c:pt>
                <c:pt idx="546">
                  <c:v>0.72699072895851824</c:v>
                </c:pt>
                <c:pt idx="547">
                  <c:v>0.6605264726822373</c:v>
                </c:pt>
                <c:pt idx="548">
                  <c:v>0.67590785476096293</c:v>
                </c:pt>
                <c:pt idx="549">
                  <c:v>0.73750573169325939</c:v>
                </c:pt>
                <c:pt idx="550">
                  <c:v>0.95390828582583698</c:v>
                </c:pt>
                <c:pt idx="551">
                  <c:v>0.63446610333315867</c:v>
                </c:pt>
                <c:pt idx="552">
                  <c:v>0.86338005643511728</c:v>
                </c:pt>
                <c:pt idx="553">
                  <c:v>0.81156566423774734</c:v>
                </c:pt>
                <c:pt idx="554">
                  <c:v>0.92071745124065973</c:v>
                </c:pt>
                <c:pt idx="555">
                  <c:v>1.0012531363188062</c:v>
                </c:pt>
                <c:pt idx="556">
                  <c:v>1.0701016083773434</c:v>
                </c:pt>
                <c:pt idx="557">
                  <c:v>0.68916081043911959</c:v>
                </c:pt>
                <c:pt idx="558">
                  <c:v>0.69092350116880574</c:v>
                </c:pt>
                <c:pt idx="559">
                  <c:v>0.72356870718467459</c:v>
                </c:pt>
                <c:pt idx="560">
                  <c:v>0.83329191136236869</c:v>
                </c:pt>
                <c:pt idx="561">
                  <c:v>0.9921073313810691</c:v>
                </c:pt>
                <c:pt idx="562">
                  <c:v>0.8615994844923005</c:v>
                </c:pt>
                <c:pt idx="563">
                  <c:v>0.83496518234123762</c:v>
                </c:pt>
                <c:pt idx="564">
                  <c:v>1.0089643886101802</c:v>
                </c:pt>
                <c:pt idx="565">
                  <c:v>0.95127152570776641</c:v>
                </c:pt>
                <c:pt idx="566">
                  <c:v>0.78929603843691432</c:v>
                </c:pt>
                <c:pt idx="567">
                  <c:v>0.85780796024271044</c:v>
                </c:pt>
                <c:pt idx="568">
                  <c:v>1.0744575224778234</c:v>
                </c:pt>
                <c:pt idx="569">
                  <c:v>0.65674409505451159</c:v>
                </c:pt>
                <c:pt idx="570">
                  <c:v>0.88034196761197592</c:v>
                </c:pt>
                <c:pt idx="571">
                  <c:v>0.9429219085470999</c:v>
                </c:pt>
                <c:pt idx="572">
                  <c:v>0.85768078677833959</c:v>
                </c:pt>
                <c:pt idx="573">
                  <c:v>0.81872433729599425</c:v>
                </c:pt>
                <c:pt idx="574">
                  <c:v>0.76680322721260907</c:v>
                </c:pt>
                <c:pt idx="575">
                  <c:v>0.8524062691908334</c:v>
                </c:pt>
                <c:pt idx="576">
                  <c:v>0.89181177176809889</c:v>
                </c:pt>
                <c:pt idx="577">
                  <c:v>0.91472122142329759</c:v>
                </c:pt>
                <c:pt idx="578">
                  <c:v>0.84303157525858641</c:v>
                </c:pt>
                <c:pt idx="579">
                  <c:v>0.62796193609055173</c:v>
                </c:pt>
                <c:pt idx="580">
                  <c:v>0.9619081380134471</c:v>
                </c:pt>
                <c:pt idx="581">
                  <c:v>0.79474684065758971</c:v>
                </c:pt>
                <c:pt idx="582">
                  <c:v>1.1377018400305952</c:v>
                </c:pt>
                <c:pt idx="583">
                  <c:v>0.59980277130654081</c:v>
                </c:pt>
                <c:pt idx="584">
                  <c:v>0.80059902003794114</c:v>
                </c:pt>
                <c:pt idx="585">
                  <c:v>1.0324062110109988</c:v>
                </c:pt>
                <c:pt idx="586">
                  <c:v>0.92211011480397698</c:v>
                </c:pt>
                <c:pt idx="587">
                  <c:v>0.74996090645754521</c:v>
                </c:pt>
                <c:pt idx="588">
                  <c:v>0.7064487152502501</c:v>
                </c:pt>
                <c:pt idx="589">
                  <c:v>0.76896839778469328</c:v>
                </c:pt>
                <c:pt idx="590">
                  <c:v>1.0067895329097354</c:v>
                </c:pt>
                <c:pt idx="591">
                  <c:v>0.64012761818658426</c:v>
                </c:pt>
                <c:pt idx="592">
                  <c:v>0.6299510572387188</c:v>
                </c:pt>
                <c:pt idx="593">
                  <c:v>0.76715621115269705</c:v>
                </c:pt>
                <c:pt idx="594">
                  <c:v>0.81201535890895649</c:v>
                </c:pt>
                <c:pt idx="595">
                  <c:v>1.0134607922752474</c:v>
                </c:pt>
                <c:pt idx="596">
                  <c:v>0.80239010142178913</c:v>
                </c:pt>
                <c:pt idx="597">
                  <c:v>0.77634194517876765</c:v>
                </c:pt>
                <c:pt idx="598">
                  <c:v>0.97851412370475632</c:v>
                </c:pt>
                <c:pt idx="599">
                  <c:v>1.0232315742524154</c:v>
                </c:pt>
                <c:pt idx="600">
                  <c:v>0.87065789486419476</c:v>
                </c:pt>
                <c:pt idx="601">
                  <c:v>0.79941885490168119</c:v>
                </c:pt>
                <c:pt idx="602">
                  <c:v>1.0147650592432633</c:v>
                </c:pt>
                <c:pt idx="603">
                  <c:v>0.85428035375105971</c:v>
                </c:pt>
                <c:pt idx="604">
                  <c:v>0.56879033335988893</c:v>
                </c:pt>
                <c:pt idx="605">
                  <c:v>0.81053641347142769</c:v>
                </c:pt>
                <c:pt idx="606">
                  <c:v>0.75943176604447515</c:v>
                </c:pt>
                <c:pt idx="607">
                  <c:v>0.96199234609634043</c:v>
                </c:pt>
                <c:pt idx="608">
                  <c:v>0.87757566957852617</c:v>
                </c:pt>
                <c:pt idx="609">
                  <c:v>0.72198117528026451</c:v>
                </c:pt>
                <c:pt idx="610">
                  <c:v>0.98680580269878249</c:v>
                </c:pt>
                <c:pt idx="611">
                  <c:v>0.74384382708599617</c:v>
                </c:pt>
                <c:pt idx="612">
                  <c:v>0.5917393405907827</c:v>
                </c:pt>
                <c:pt idx="613">
                  <c:v>0.95858221592204007</c:v>
                </c:pt>
                <c:pt idx="614">
                  <c:v>0.89826367632514081</c:v>
                </c:pt>
                <c:pt idx="615">
                  <c:v>0.83090808143880501</c:v>
                </c:pt>
                <c:pt idx="616">
                  <c:v>1.1787340418924996</c:v>
                </c:pt>
                <c:pt idx="617">
                  <c:v>0.68286203824770553</c:v>
                </c:pt>
                <c:pt idx="618">
                  <c:v>0.87016710543080666</c:v>
                </c:pt>
                <c:pt idx="619">
                  <c:v>0.86551526065078033</c:v>
                </c:pt>
                <c:pt idx="620">
                  <c:v>0.98149460653849996</c:v>
                </c:pt>
                <c:pt idx="621">
                  <c:v>0.66321328188359274</c:v>
                </c:pt>
                <c:pt idx="622">
                  <c:v>1.0228498205896068</c:v>
                </c:pt>
                <c:pt idx="623">
                  <c:v>0.83116420549876313</c:v>
                </c:pt>
                <c:pt idx="624">
                  <c:v>0.69839637373469365</c:v>
                </c:pt>
                <c:pt idx="625">
                  <c:v>0.83632581160498276</c:v>
                </c:pt>
                <c:pt idx="626">
                  <c:v>1.0559483960206038</c:v>
                </c:pt>
                <c:pt idx="627">
                  <c:v>0.81588118742837423</c:v>
                </c:pt>
                <c:pt idx="628">
                  <c:v>0.70335729853351658</c:v>
                </c:pt>
                <c:pt idx="629">
                  <c:v>0.69221325867644179</c:v>
                </c:pt>
                <c:pt idx="630">
                  <c:v>0.48737491048338022</c:v>
                </c:pt>
                <c:pt idx="631">
                  <c:v>0.78523229925599836</c:v>
                </c:pt>
                <c:pt idx="632">
                  <c:v>0.59209072179301092</c:v>
                </c:pt>
                <c:pt idx="633">
                  <c:v>1.0412547816764723</c:v>
                </c:pt>
                <c:pt idx="634">
                  <c:v>0.59566916080678034</c:v>
                </c:pt>
                <c:pt idx="635">
                  <c:v>0.92413555500908728</c:v>
                </c:pt>
                <c:pt idx="636">
                  <c:v>0.94180208173048285</c:v>
                </c:pt>
                <c:pt idx="637">
                  <c:v>0.90456582034788635</c:v>
                </c:pt>
                <c:pt idx="638">
                  <c:v>1.1135378702059047</c:v>
                </c:pt>
                <c:pt idx="639">
                  <c:v>0.88168181944170865</c:v>
                </c:pt>
                <c:pt idx="640">
                  <c:v>0.8573340004189749</c:v>
                </c:pt>
                <c:pt idx="641">
                  <c:v>0.74337298257988849</c:v>
                </c:pt>
                <c:pt idx="642">
                  <c:v>0.95789212869989715</c:v>
                </c:pt>
                <c:pt idx="643">
                  <c:v>0.76079608507899366</c:v>
                </c:pt>
                <c:pt idx="644">
                  <c:v>0.78791660751421944</c:v>
                </c:pt>
                <c:pt idx="645">
                  <c:v>1.0240952752038748</c:v>
                </c:pt>
                <c:pt idx="646">
                  <c:v>0.83696520218550141</c:v>
                </c:pt>
                <c:pt idx="647">
                  <c:v>0.814528032572019</c:v>
                </c:pt>
                <c:pt idx="648">
                  <c:v>0.72613605440083973</c:v>
                </c:pt>
                <c:pt idx="649">
                  <c:v>0.90821050982423124</c:v>
                </c:pt>
                <c:pt idx="650">
                  <c:v>0.88121819572052207</c:v>
                </c:pt>
                <c:pt idx="651">
                  <c:v>0.95527231913574973</c:v>
                </c:pt>
                <c:pt idx="652">
                  <c:v>0.81051850824813165</c:v>
                </c:pt>
                <c:pt idx="653">
                  <c:v>0.76140252878176806</c:v>
                </c:pt>
                <c:pt idx="654">
                  <c:v>0.96309487496801793</c:v>
                </c:pt>
                <c:pt idx="655">
                  <c:v>0.93370639360711838</c:v>
                </c:pt>
                <c:pt idx="656">
                  <c:v>0.64221502673089947</c:v>
                </c:pt>
                <c:pt idx="657">
                  <c:v>0.83590290366076481</c:v>
                </c:pt>
                <c:pt idx="658">
                  <c:v>0.76079244854752925</c:v>
                </c:pt>
                <c:pt idx="659">
                  <c:v>1.0605958629032068</c:v>
                </c:pt>
                <c:pt idx="660">
                  <c:v>0.9313629883654162</c:v>
                </c:pt>
                <c:pt idx="661">
                  <c:v>0.81498605018574555</c:v>
                </c:pt>
                <c:pt idx="662">
                  <c:v>0.89632265305565006</c:v>
                </c:pt>
                <c:pt idx="663">
                  <c:v>0.809455282794044</c:v>
                </c:pt>
                <c:pt idx="664">
                  <c:v>0.91111369051283475</c:v>
                </c:pt>
                <c:pt idx="665">
                  <c:v>0.92755755821817765</c:v>
                </c:pt>
                <c:pt idx="666">
                  <c:v>0.91302282877698282</c:v>
                </c:pt>
                <c:pt idx="667">
                  <c:v>0.83244739987898786</c:v>
                </c:pt>
                <c:pt idx="668">
                  <c:v>0.99622026512619932</c:v>
                </c:pt>
                <c:pt idx="669">
                  <c:v>0.74616741297992295</c:v>
                </c:pt>
                <c:pt idx="670">
                  <c:v>0.90779117677051513</c:v>
                </c:pt>
                <c:pt idx="671">
                  <c:v>1.1047928250052781</c:v>
                </c:pt>
                <c:pt idx="672">
                  <c:v>0.59677180740290048</c:v>
                </c:pt>
                <c:pt idx="673">
                  <c:v>0.97013341979355872</c:v>
                </c:pt>
                <c:pt idx="674">
                  <c:v>0.87625894823101635</c:v>
                </c:pt>
                <c:pt idx="675">
                  <c:v>0.73492961147238223</c:v>
                </c:pt>
                <c:pt idx="676">
                  <c:v>0.91124703789962691</c:v>
                </c:pt>
                <c:pt idx="677">
                  <c:v>0.92727187857744742</c:v>
                </c:pt>
                <c:pt idx="678">
                  <c:v>0.64942036019447258</c:v>
                </c:pt>
                <c:pt idx="679">
                  <c:v>0.77685692863780353</c:v>
                </c:pt>
                <c:pt idx="680">
                  <c:v>0.69195243267925566</c:v>
                </c:pt>
                <c:pt idx="681">
                  <c:v>0.64982960533667544</c:v>
                </c:pt>
                <c:pt idx="682">
                  <c:v>0.83814355990839218</c:v>
                </c:pt>
                <c:pt idx="683">
                  <c:v>0.92832580494573058</c:v>
                </c:pt>
                <c:pt idx="684">
                  <c:v>0.86101517527061322</c:v>
                </c:pt>
                <c:pt idx="685">
                  <c:v>0.92287725863250536</c:v>
                </c:pt>
                <c:pt idx="686">
                  <c:v>1.0677997700886204</c:v>
                </c:pt>
                <c:pt idx="687">
                  <c:v>0.70599167910201288</c:v>
                </c:pt>
                <c:pt idx="688">
                  <c:v>0.67653211833326132</c:v>
                </c:pt>
                <c:pt idx="689">
                  <c:v>0.76548476648527597</c:v>
                </c:pt>
                <c:pt idx="690">
                  <c:v>0.71441170883517557</c:v>
                </c:pt>
                <c:pt idx="691">
                  <c:v>0.93366694496165437</c:v>
                </c:pt>
                <c:pt idx="692">
                  <c:v>0.67833018508448184</c:v>
                </c:pt>
                <c:pt idx="693">
                  <c:v>0.91058367661524819</c:v>
                </c:pt>
                <c:pt idx="694">
                  <c:v>0.70034570039965249</c:v>
                </c:pt>
                <c:pt idx="695">
                  <c:v>0.58895421122016156</c:v>
                </c:pt>
                <c:pt idx="696">
                  <c:v>0.9863212465649509</c:v>
                </c:pt>
                <c:pt idx="697">
                  <c:v>0.8169472419983288</c:v>
                </c:pt>
                <c:pt idx="698">
                  <c:v>1.0315423354430804</c:v>
                </c:pt>
                <c:pt idx="699">
                  <c:v>0.66226179584146294</c:v>
                </c:pt>
                <c:pt idx="700">
                  <c:v>0.81145207710953482</c:v>
                </c:pt>
                <c:pt idx="701">
                  <c:v>0.96552932077480769</c:v>
                </c:pt>
                <c:pt idx="702">
                  <c:v>0.70537030239280973</c:v>
                </c:pt>
                <c:pt idx="703">
                  <c:v>0.75231877289708926</c:v>
                </c:pt>
                <c:pt idx="704">
                  <c:v>1.1051886001443965</c:v>
                </c:pt>
                <c:pt idx="705">
                  <c:v>0.94489395416848865</c:v>
                </c:pt>
                <c:pt idx="706">
                  <c:v>0.70299383541670579</c:v>
                </c:pt>
                <c:pt idx="707">
                  <c:v>0.65818202175336715</c:v>
                </c:pt>
                <c:pt idx="708">
                  <c:v>0.85949877885658221</c:v>
                </c:pt>
                <c:pt idx="709">
                  <c:v>0.84003792686349765</c:v>
                </c:pt>
                <c:pt idx="710">
                  <c:v>0.94451379996237339</c:v>
                </c:pt>
                <c:pt idx="711">
                  <c:v>0.54833758498293861</c:v>
                </c:pt>
                <c:pt idx="712">
                  <c:v>0.76237448048280498</c:v>
                </c:pt>
                <c:pt idx="713">
                  <c:v>0.91110329187936223</c:v>
                </c:pt>
                <c:pt idx="714">
                  <c:v>0.8299526084701645</c:v>
                </c:pt>
                <c:pt idx="715">
                  <c:v>0.63316900877902427</c:v>
                </c:pt>
                <c:pt idx="716">
                  <c:v>0.94659397406039147</c:v>
                </c:pt>
                <c:pt idx="717">
                  <c:v>0.86401100104547623</c:v>
                </c:pt>
                <c:pt idx="718">
                  <c:v>0.74515424953828635</c:v>
                </c:pt>
                <c:pt idx="719">
                  <c:v>0.81163042003743957</c:v>
                </c:pt>
                <c:pt idx="720">
                  <c:v>0.66343874138124459</c:v>
                </c:pt>
                <c:pt idx="721">
                  <c:v>0.86215174457427679</c:v>
                </c:pt>
                <c:pt idx="722">
                  <c:v>0.73861261411916779</c:v>
                </c:pt>
                <c:pt idx="723">
                  <c:v>1.0125436260960932</c:v>
                </c:pt>
                <c:pt idx="724">
                  <c:v>0.72671818465485138</c:v>
                </c:pt>
                <c:pt idx="725">
                  <c:v>0.89487532433920691</c:v>
                </c:pt>
                <c:pt idx="726">
                  <c:v>0.86586126201270908</c:v>
                </c:pt>
                <c:pt idx="727">
                  <c:v>0.7009055909536368</c:v>
                </c:pt>
                <c:pt idx="728">
                  <c:v>0.79365104943178721</c:v>
                </c:pt>
                <c:pt idx="729">
                  <c:v>0.79774993843757258</c:v>
                </c:pt>
                <c:pt idx="730">
                  <c:v>0.97457699114615526</c:v>
                </c:pt>
                <c:pt idx="731">
                  <c:v>0.77309570644500614</c:v>
                </c:pt>
                <c:pt idx="732">
                  <c:v>0.9053061557037605</c:v>
                </c:pt>
                <c:pt idx="733">
                  <c:v>1.0526323266568047</c:v>
                </c:pt>
                <c:pt idx="734">
                  <c:v>0.98188367447332947</c:v>
                </c:pt>
                <c:pt idx="735">
                  <c:v>1.3352398216790275</c:v>
                </c:pt>
                <c:pt idx="736">
                  <c:v>1.1503054570659632</c:v>
                </c:pt>
                <c:pt idx="737">
                  <c:v>0.85300602591807539</c:v>
                </c:pt>
                <c:pt idx="738">
                  <c:v>0.69217133353731697</c:v>
                </c:pt>
                <c:pt idx="739">
                  <c:v>0.71914878925879488</c:v>
                </c:pt>
                <c:pt idx="740">
                  <c:v>0.88895927778424699</c:v>
                </c:pt>
                <c:pt idx="741">
                  <c:v>0.80989826267159337</c:v>
                </c:pt>
                <c:pt idx="742">
                  <c:v>0.9560227520942437</c:v>
                </c:pt>
                <c:pt idx="743">
                  <c:v>0.99551798327789953</c:v>
                </c:pt>
                <c:pt idx="744">
                  <c:v>0.97413876047190051</c:v>
                </c:pt>
                <c:pt idx="745">
                  <c:v>1.0383934876640399</c:v>
                </c:pt>
                <c:pt idx="746">
                  <c:v>1.1932873002380182</c:v>
                </c:pt>
                <c:pt idx="747">
                  <c:v>1.0139418190031133</c:v>
                </c:pt>
                <c:pt idx="748">
                  <c:v>0.91633685371995366</c:v>
                </c:pt>
                <c:pt idx="749">
                  <c:v>0.75170054013868892</c:v>
                </c:pt>
                <c:pt idx="750">
                  <c:v>0.82175589435398155</c:v>
                </c:pt>
                <c:pt idx="751">
                  <c:v>0.99428008562416892</c:v>
                </c:pt>
                <c:pt idx="752">
                  <c:v>0.86378163318852152</c:v>
                </c:pt>
                <c:pt idx="753">
                  <c:v>0.69402533789856413</c:v>
                </c:pt>
                <c:pt idx="754">
                  <c:v>0.74495334800931357</c:v>
                </c:pt>
                <c:pt idx="755">
                  <c:v>0.87673263753622876</c:v>
                </c:pt>
                <c:pt idx="756">
                  <c:v>1.008153551492069</c:v>
                </c:pt>
                <c:pt idx="757">
                  <c:v>0.86056271366145776</c:v>
                </c:pt>
                <c:pt idx="758">
                  <c:v>0.65812948894096657</c:v>
                </c:pt>
                <c:pt idx="759">
                  <c:v>0.9548033733870902</c:v>
                </c:pt>
                <c:pt idx="760">
                  <c:v>0.91935474238399451</c:v>
                </c:pt>
                <c:pt idx="761">
                  <c:v>0.78263323246332828</c:v>
                </c:pt>
                <c:pt idx="762">
                  <c:v>0.77476132794059094</c:v>
                </c:pt>
                <c:pt idx="763">
                  <c:v>1.0194026096841302</c:v>
                </c:pt>
                <c:pt idx="764">
                  <c:v>1.0361763550095064</c:v>
                </c:pt>
                <c:pt idx="765">
                  <c:v>0.98540764151433802</c:v>
                </c:pt>
                <c:pt idx="766">
                  <c:v>0.93772890353185545</c:v>
                </c:pt>
                <c:pt idx="767">
                  <c:v>0.71476013793281012</c:v>
                </c:pt>
                <c:pt idx="768">
                  <c:v>0.68079329634116803</c:v>
                </c:pt>
                <c:pt idx="769">
                  <c:v>0.80923658156096234</c:v>
                </c:pt>
                <c:pt idx="770">
                  <c:v>0.75277022395062243</c:v>
                </c:pt>
                <c:pt idx="771">
                  <c:v>0.96299035979918557</c:v>
                </c:pt>
                <c:pt idx="772">
                  <c:v>0.64030772883356768</c:v>
                </c:pt>
                <c:pt idx="773">
                  <c:v>0.6287035601384936</c:v>
                </c:pt>
                <c:pt idx="774">
                  <c:v>0.78052736516541543</c:v>
                </c:pt>
                <c:pt idx="775">
                  <c:v>0.80019562894285556</c:v>
                </c:pt>
                <c:pt idx="776">
                  <c:v>0.68676493025555629</c:v>
                </c:pt>
                <c:pt idx="777">
                  <c:v>0.85748243122246137</c:v>
                </c:pt>
                <c:pt idx="778">
                  <c:v>0.93354114303217095</c:v>
                </c:pt>
                <c:pt idx="779">
                  <c:v>0.68003906222016219</c:v>
                </c:pt>
                <c:pt idx="780">
                  <c:v>1.0354857145273044</c:v>
                </c:pt>
                <c:pt idx="781">
                  <c:v>0.80829321282988253</c:v>
                </c:pt>
                <c:pt idx="782">
                  <c:v>0.85394674877678867</c:v>
                </c:pt>
                <c:pt idx="783">
                  <c:v>0.77196959057030057</c:v>
                </c:pt>
                <c:pt idx="784">
                  <c:v>1.1683125826177783</c:v>
                </c:pt>
                <c:pt idx="785">
                  <c:v>0.63764412309100837</c:v>
                </c:pt>
                <c:pt idx="786">
                  <c:v>0.85293980414853277</c:v>
                </c:pt>
                <c:pt idx="787">
                  <c:v>1.0221451430690909</c:v>
                </c:pt>
                <c:pt idx="788">
                  <c:v>1.20923665209581</c:v>
                </c:pt>
                <c:pt idx="789">
                  <c:v>0.65647034919447478</c:v>
                </c:pt>
                <c:pt idx="790">
                  <c:v>0.80068156459445561</c:v>
                </c:pt>
                <c:pt idx="791">
                  <c:v>0.93510709110522061</c:v>
                </c:pt>
                <c:pt idx="792">
                  <c:v>0.84879579844913966</c:v>
                </c:pt>
                <c:pt idx="793">
                  <c:v>0.81932837891590093</c:v>
                </c:pt>
                <c:pt idx="794">
                  <c:v>0.60421770818325093</c:v>
                </c:pt>
                <c:pt idx="795">
                  <c:v>0.86760839524219868</c:v>
                </c:pt>
                <c:pt idx="796">
                  <c:v>0.96384753638318532</c:v>
                </c:pt>
                <c:pt idx="797">
                  <c:v>0.66027921737056339</c:v>
                </c:pt>
                <c:pt idx="798">
                  <c:v>0.81746647790861537</c:v>
                </c:pt>
                <c:pt idx="799">
                  <c:v>0.71775589805998408</c:v>
                </c:pt>
                <c:pt idx="800">
                  <c:v>0.87554601849810254</c:v>
                </c:pt>
                <c:pt idx="801">
                  <c:v>1.1110635618549676</c:v>
                </c:pt>
                <c:pt idx="802">
                  <c:v>0.82455572733791094</c:v>
                </c:pt>
                <c:pt idx="803">
                  <c:v>1.0324840915248839</c:v>
                </c:pt>
                <c:pt idx="804">
                  <c:v>0.74729946424066185</c:v>
                </c:pt>
                <c:pt idx="805">
                  <c:v>0.66778220732439308</c:v>
                </c:pt>
                <c:pt idx="806">
                  <c:v>0.99140994761573165</c:v>
                </c:pt>
                <c:pt idx="807">
                  <c:v>0.82971310319038416</c:v>
                </c:pt>
                <c:pt idx="808">
                  <c:v>1.1923018410749346</c:v>
                </c:pt>
                <c:pt idx="809">
                  <c:v>0.79400803847666346</c:v>
                </c:pt>
                <c:pt idx="810">
                  <c:v>0.8107199343610656</c:v>
                </c:pt>
                <c:pt idx="811">
                  <c:v>0.93073648236935558</c:v>
                </c:pt>
                <c:pt idx="812">
                  <c:v>0.86922734044425987</c:v>
                </c:pt>
                <c:pt idx="813">
                  <c:v>0.77386980578963804</c:v>
                </c:pt>
                <c:pt idx="814">
                  <c:v>0.79933357186939169</c:v>
                </c:pt>
                <c:pt idx="815">
                  <c:v>1.2447767881821559</c:v>
                </c:pt>
                <c:pt idx="816">
                  <c:v>0.8888231951206409</c:v>
                </c:pt>
                <c:pt idx="817">
                  <c:v>1.0429232398069868</c:v>
                </c:pt>
                <c:pt idx="818">
                  <c:v>0.86782366003659828</c:v>
                </c:pt>
                <c:pt idx="819">
                  <c:v>0.81362341651124748</c:v>
                </c:pt>
                <c:pt idx="820">
                  <c:v>0.73911859746826991</c:v>
                </c:pt>
                <c:pt idx="821">
                  <c:v>0.70134684961448102</c:v>
                </c:pt>
                <c:pt idx="822">
                  <c:v>0.76844697874851065</c:v>
                </c:pt>
                <c:pt idx="823">
                  <c:v>0.92271081930268029</c:v>
                </c:pt>
                <c:pt idx="824">
                  <c:v>0.73624313790664431</c:v>
                </c:pt>
                <c:pt idx="825">
                  <c:v>0.90488322029253077</c:v>
                </c:pt>
                <c:pt idx="826">
                  <c:v>0.97976600838629491</c:v>
                </c:pt>
                <c:pt idx="827">
                  <c:v>0.76470007666028028</c:v>
                </c:pt>
                <c:pt idx="828">
                  <c:v>0.80708609727954794</c:v>
                </c:pt>
                <c:pt idx="829">
                  <c:v>0.93743904861394256</c:v>
                </c:pt>
                <c:pt idx="830">
                  <c:v>0.81130624270806528</c:v>
                </c:pt>
                <c:pt idx="831">
                  <c:v>1.0088912147684876</c:v>
                </c:pt>
                <c:pt idx="832">
                  <c:v>0.90675940523646936</c:v>
                </c:pt>
                <c:pt idx="833">
                  <c:v>0.70554705312516042</c:v>
                </c:pt>
                <c:pt idx="834">
                  <c:v>0.64346168711043283</c:v>
                </c:pt>
                <c:pt idx="835">
                  <c:v>0.95897489082484277</c:v>
                </c:pt>
                <c:pt idx="836">
                  <c:v>0.90595497151598448</c:v>
                </c:pt>
                <c:pt idx="837">
                  <c:v>0.98984013935081094</c:v>
                </c:pt>
                <c:pt idx="838">
                  <c:v>0.7480162291714656</c:v>
                </c:pt>
                <c:pt idx="839">
                  <c:v>1.0183918190979382</c:v>
                </c:pt>
                <c:pt idx="840">
                  <c:v>1.1206996710577526</c:v>
                </c:pt>
                <c:pt idx="841">
                  <c:v>0.55046023081212159</c:v>
                </c:pt>
                <c:pt idx="842">
                  <c:v>0.8820330155223024</c:v>
                </c:pt>
                <c:pt idx="843">
                  <c:v>0.69724245357517489</c:v>
                </c:pt>
                <c:pt idx="844">
                  <c:v>0.9370725188948601</c:v>
                </c:pt>
                <c:pt idx="845">
                  <c:v>0.78225178543499663</c:v>
                </c:pt>
                <c:pt idx="846">
                  <c:v>0.62661393962314893</c:v>
                </c:pt>
                <c:pt idx="847">
                  <c:v>1.3004569065448432</c:v>
                </c:pt>
                <c:pt idx="848">
                  <c:v>0.77430961609030913</c:v>
                </c:pt>
                <c:pt idx="849">
                  <c:v>0.88526811955211571</c:v>
                </c:pt>
                <c:pt idx="850">
                  <c:v>0.80125259012861072</c:v>
                </c:pt>
                <c:pt idx="851">
                  <c:v>0.76726394498253381</c:v>
                </c:pt>
                <c:pt idx="852">
                  <c:v>0.94370298928310792</c:v>
                </c:pt>
                <c:pt idx="853">
                  <c:v>0.73995819050467126</c:v>
                </c:pt>
                <c:pt idx="854">
                  <c:v>1.0472283308697241</c:v>
                </c:pt>
                <c:pt idx="855">
                  <c:v>0.94417735702120975</c:v>
                </c:pt>
                <c:pt idx="856">
                  <c:v>0.69464027958909202</c:v>
                </c:pt>
                <c:pt idx="857">
                  <c:v>0.66765949568883975</c:v>
                </c:pt>
                <c:pt idx="858">
                  <c:v>0.82940033911644928</c:v>
                </c:pt>
                <c:pt idx="859">
                  <c:v>1.3081372095801678</c:v>
                </c:pt>
                <c:pt idx="860">
                  <c:v>0.9143098014516351</c:v>
                </c:pt>
                <c:pt idx="861">
                  <c:v>0.70132900266594156</c:v>
                </c:pt>
                <c:pt idx="862">
                  <c:v>0.73260078570571352</c:v>
                </c:pt>
                <c:pt idx="863">
                  <c:v>1.0760302527072909</c:v>
                </c:pt>
                <c:pt idx="864">
                  <c:v>0.74395403637317603</c:v>
                </c:pt>
                <c:pt idx="865">
                  <c:v>0.9120983545718353</c:v>
                </c:pt>
                <c:pt idx="866">
                  <c:v>0.80926605586018319</c:v>
                </c:pt>
                <c:pt idx="867">
                  <c:v>0.84873681897631315</c:v>
                </c:pt>
                <c:pt idx="868">
                  <c:v>0.50702080109980407</c:v>
                </c:pt>
                <c:pt idx="869">
                  <c:v>0.86480618527993691</c:v>
                </c:pt>
                <c:pt idx="870">
                  <c:v>0.63741936919009667</c:v>
                </c:pt>
                <c:pt idx="871">
                  <c:v>0.93295687562848695</c:v>
                </c:pt>
                <c:pt idx="872">
                  <c:v>0.90420365614508746</c:v>
                </c:pt>
                <c:pt idx="873">
                  <c:v>1.205669220913518</c:v>
                </c:pt>
                <c:pt idx="874">
                  <c:v>0.82689544023326977</c:v>
                </c:pt>
                <c:pt idx="875">
                  <c:v>0.87878925039256295</c:v>
                </c:pt>
                <c:pt idx="876">
                  <c:v>0.70166392321641524</c:v>
                </c:pt>
                <c:pt idx="877">
                  <c:v>0.61014630586231355</c:v>
                </c:pt>
                <c:pt idx="878">
                  <c:v>0.79058205285583227</c:v>
                </c:pt>
                <c:pt idx="879">
                  <c:v>0.77899025082024309</c:v>
                </c:pt>
                <c:pt idx="880">
                  <c:v>0.66989248808652313</c:v>
                </c:pt>
                <c:pt idx="881">
                  <c:v>0.807598249226265</c:v>
                </c:pt>
                <c:pt idx="882">
                  <c:v>0.71427731522430271</c:v>
                </c:pt>
                <c:pt idx="883">
                  <c:v>1.1849216745202922</c:v>
                </c:pt>
                <c:pt idx="884">
                  <c:v>0.84945369173198948</c:v>
                </c:pt>
                <c:pt idx="885">
                  <c:v>0.81833062171642457</c:v>
                </c:pt>
                <c:pt idx="886">
                  <c:v>0.5930270025921569</c:v>
                </c:pt>
                <c:pt idx="887">
                  <c:v>0.88743034611235849</c:v>
                </c:pt>
                <c:pt idx="888">
                  <c:v>0.97660469116941151</c:v>
                </c:pt>
                <c:pt idx="889">
                  <c:v>1.0405847713434371</c:v>
                </c:pt>
                <c:pt idx="890">
                  <c:v>0.89847644111546643</c:v>
                </c:pt>
                <c:pt idx="891">
                  <c:v>0.81150042133579348</c:v>
                </c:pt>
                <c:pt idx="892">
                  <c:v>0.51508979023053669</c:v>
                </c:pt>
                <c:pt idx="893">
                  <c:v>0.75093625820783227</c:v>
                </c:pt>
                <c:pt idx="894">
                  <c:v>0.82879791828379012</c:v>
                </c:pt>
                <c:pt idx="895">
                  <c:v>0.89691799453840293</c:v>
                </c:pt>
                <c:pt idx="896">
                  <c:v>0.95678397270661542</c:v>
                </c:pt>
                <c:pt idx="897">
                  <c:v>0.72437499118180959</c:v>
                </c:pt>
                <c:pt idx="898">
                  <c:v>0.6865644557816557</c:v>
                </c:pt>
                <c:pt idx="899">
                  <c:v>0.60049761716254757</c:v>
                </c:pt>
                <c:pt idx="900">
                  <c:v>0.74971720019560628</c:v>
                </c:pt>
                <c:pt idx="901">
                  <c:v>1.0022106704594123</c:v>
                </c:pt>
                <c:pt idx="902">
                  <c:v>0.70085325225603778</c:v>
                </c:pt>
                <c:pt idx="903">
                  <c:v>1.0087695084226187</c:v>
                </c:pt>
                <c:pt idx="904">
                  <c:v>0.94113937871075759</c:v>
                </c:pt>
                <c:pt idx="905">
                  <c:v>0.85244744288868279</c:v>
                </c:pt>
                <c:pt idx="906">
                  <c:v>0.86054895501196516</c:v>
                </c:pt>
                <c:pt idx="907">
                  <c:v>0.98686994042170983</c:v>
                </c:pt>
                <c:pt idx="908">
                  <c:v>0.69491469378746373</c:v>
                </c:pt>
                <c:pt idx="909">
                  <c:v>0.74148034334440904</c:v>
                </c:pt>
                <c:pt idx="910">
                  <c:v>0.97001939720062857</c:v>
                </c:pt>
                <c:pt idx="911">
                  <c:v>0.86449180443698914</c:v>
                </c:pt>
                <c:pt idx="912">
                  <c:v>0.8490418890900262</c:v>
                </c:pt>
                <c:pt idx="913">
                  <c:v>0.90758524366696491</c:v>
                </c:pt>
                <c:pt idx="914">
                  <c:v>0.95589629515111252</c:v>
                </c:pt>
                <c:pt idx="915">
                  <c:v>0.82116149129185523</c:v>
                </c:pt>
                <c:pt idx="916">
                  <c:v>0.70409081129360551</c:v>
                </c:pt>
                <c:pt idx="917">
                  <c:v>0.7989526741442603</c:v>
                </c:pt>
                <c:pt idx="918">
                  <c:v>0.85969557326095369</c:v>
                </c:pt>
                <c:pt idx="919">
                  <c:v>0.79102689912780022</c:v>
                </c:pt>
                <c:pt idx="920">
                  <c:v>0.70917190173489431</c:v>
                </c:pt>
                <c:pt idx="921">
                  <c:v>1.0842127076316785</c:v>
                </c:pt>
                <c:pt idx="922">
                  <c:v>0.7126078644194358</c:v>
                </c:pt>
                <c:pt idx="923">
                  <c:v>0.82146952686617603</c:v>
                </c:pt>
                <c:pt idx="924">
                  <c:v>0.75504902031620524</c:v>
                </c:pt>
                <c:pt idx="925">
                  <c:v>0.87427177558346347</c:v>
                </c:pt>
                <c:pt idx="926">
                  <c:v>1.0642720306432407</c:v>
                </c:pt>
                <c:pt idx="927">
                  <c:v>1.1358346986380647</c:v>
                </c:pt>
                <c:pt idx="928">
                  <c:v>0.58795918554604576</c:v>
                </c:pt>
                <c:pt idx="929">
                  <c:v>0.7093603034285163</c:v>
                </c:pt>
                <c:pt idx="930">
                  <c:v>1.1345878804507219</c:v>
                </c:pt>
                <c:pt idx="931">
                  <c:v>1.0839963003641317</c:v>
                </c:pt>
                <c:pt idx="932">
                  <c:v>0.68964260468464644</c:v>
                </c:pt>
                <c:pt idx="933">
                  <c:v>0.7375696862096861</c:v>
                </c:pt>
                <c:pt idx="934">
                  <c:v>0.88144976575985368</c:v>
                </c:pt>
                <c:pt idx="935">
                  <c:v>0.81841849330598571</c:v>
                </c:pt>
                <c:pt idx="936">
                  <c:v>0.65940024652238449</c:v>
                </c:pt>
                <c:pt idx="937">
                  <c:v>0.92455103747439171</c:v>
                </c:pt>
                <c:pt idx="938">
                  <c:v>0.68838929339650523</c:v>
                </c:pt>
                <c:pt idx="939">
                  <c:v>1.0049134524804799</c:v>
                </c:pt>
                <c:pt idx="940">
                  <c:v>1.0429041798744239</c:v>
                </c:pt>
                <c:pt idx="941">
                  <c:v>0.82894029565849081</c:v>
                </c:pt>
                <c:pt idx="942">
                  <c:v>0.92112591338664096</c:v>
                </c:pt>
                <c:pt idx="943">
                  <c:v>0.78795569950213995</c:v>
                </c:pt>
                <c:pt idx="944">
                  <c:v>0.71182626802044169</c:v>
                </c:pt>
                <c:pt idx="945">
                  <c:v>0.69330953429338038</c:v>
                </c:pt>
                <c:pt idx="946">
                  <c:v>1.2212822136461634</c:v>
                </c:pt>
                <c:pt idx="947">
                  <c:v>0.97234765728271544</c:v>
                </c:pt>
                <c:pt idx="948">
                  <c:v>0.84019334646270494</c:v>
                </c:pt>
                <c:pt idx="949">
                  <c:v>0.89696173071510277</c:v>
                </c:pt>
                <c:pt idx="950">
                  <c:v>0.68240625164445934</c:v>
                </c:pt>
                <c:pt idx="951">
                  <c:v>0.58228101993259251</c:v>
                </c:pt>
                <c:pt idx="952">
                  <c:v>0.72463124182095751</c:v>
                </c:pt>
                <c:pt idx="953">
                  <c:v>0.83980384516879791</c:v>
                </c:pt>
                <c:pt idx="954">
                  <c:v>0.89805913044361674</c:v>
                </c:pt>
                <c:pt idx="955">
                  <c:v>0.74203137686272491</c:v>
                </c:pt>
                <c:pt idx="956">
                  <c:v>1.0531877689194049</c:v>
                </c:pt>
                <c:pt idx="957">
                  <c:v>0.74950067641059359</c:v>
                </c:pt>
                <c:pt idx="958">
                  <c:v>0.816014044967174</c:v>
                </c:pt>
                <c:pt idx="959">
                  <c:v>1.1207527988385069</c:v>
                </c:pt>
                <c:pt idx="960">
                  <c:v>0.78820560565245312</c:v>
                </c:pt>
                <c:pt idx="961">
                  <c:v>1.0296784505250365</c:v>
                </c:pt>
                <c:pt idx="962">
                  <c:v>0.93496112380823959</c:v>
                </c:pt>
                <c:pt idx="963">
                  <c:v>0.6698283493978785</c:v>
                </c:pt>
                <c:pt idx="964">
                  <c:v>1.0208537539634204</c:v>
                </c:pt>
                <c:pt idx="965">
                  <c:v>0.78115726599286983</c:v>
                </c:pt>
                <c:pt idx="966">
                  <c:v>1.0466163886664912</c:v>
                </c:pt>
                <c:pt idx="967">
                  <c:v>0.74324320532563082</c:v>
                </c:pt>
                <c:pt idx="968">
                  <c:v>0.62793391463672243</c:v>
                </c:pt>
                <c:pt idx="969">
                  <c:v>0.74451100289754635</c:v>
                </c:pt>
                <c:pt idx="970">
                  <c:v>0.85283761060778751</c:v>
                </c:pt>
                <c:pt idx="971">
                  <c:v>0.86550074152636647</c:v>
                </c:pt>
                <c:pt idx="972">
                  <c:v>0.76231420066164723</c:v>
                </c:pt>
                <c:pt idx="973">
                  <c:v>0.69673658609554145</c:v>
                </c:pt>
                <c:pt idx="974">
                  <c:v>0.5799431686195673</c:v>
                </c:pt>
                <c:pt idx="975">
                  <c:v>0.71920972538791794</c:v>
                </c:pt>
                <c:pt idx="976">
                  <c:v>1.0117478008825795</c:v>
                </c:pt>
                <c:pt idx="977">
                  <c:v>1.0043380514704641</c:v>
                </c:pt>
                <c:pt idx="978">
                  <c:v>0.90373428449973581</c:v>
                </c:pt>
                <c:pt idx="979">
                  <c:v>0.99725009423808508</c:v>
                </c:pt>
                <c:pt idx="980">
                  <c:v>0.98253668971547281</c:v>
                </c:pt>
                <c:pt idx="981">
                  <c:v>0.54200623892467625</c:v>
                </c:pt>
                <c:pt idx="982">
                  <c:v>0.76437003811270632</c:v>
                </c:pt>
                <c:pt idx="983">
                  <c:v>0.81301236015762779</c:v>
                </c:pt>
                <c:pt idx="984">
                  <c:v>0.67612572325095321</c:v>
                </c:pt>
                <c:pt idx="985">
                  <c:v>0.94528897640699938</c:v>
                </c:pt>
                <c:pt idx="986">
                  <c:v>0.94188168193250466</c:v>
                </c:pt>
                <c:pt idx="987">
                  <c:v>0.64344316780261046</c:v>
                </c:pt>
                <c:pt idx="988">
                  <c:v>0.66869594428420687</c:v>
                </c:pt>
                <c:pt idx="989">
                  <c:v>1.2438033828045647</c:v>
                </c:pt>
                <c:pt idx="990">
                  <c:v>0.93209168099449791</c:v>
                </c:pt>
                <c:pt idx="991">
                  <c:v>0.83112974250733807</c:v>
                </c:pt>
                <c:pt idx="992">
                  <c:v>0.84486081590286233</c:v>
                </c:pt>
                <c:pt idx="993">
                  <c:v>0.76629897903301902</c:v>
                </c:pt>
                <c:pt idx="994">
                  <c:v>0.72476222429426862</c:v>
                </c:pt>
                <c:pt idx="995">
                  <c:v>0.84584333385885024</c:v>
                </c:pt>
                <c:pt idx="996">
                  <c:v>0.6274382358433428</c:v>
                </c:pt>
                <c:pt idx="997">
                  <c:v>0.70236296155383826</c:v>
                </c:pt>
                <c:pt idx="998">
                  <c:v>0.75754835864687209</c:v>
                </c:pt>
                <c:pt idx="999">
                  <c:v>1.0338382656223297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6496.8969280453102</c:v>
                </c:pt>
                <c:pt idx="1">
                  <c:v>6084.4682781538886</c:v>
                </c:pt>
                <c:pt idx="2">
                  <c:v>5216.5555801599603</c:v>
                </c:pt>
                <c:pt idx="3">
                  <c:v>9139.6782922626644</c:v>
                </c:pt>
                <c:pt idx="4">
                  <c:v>5138.0220545393167</c:v>
                </c:pt>
                <c:pt idx="5">
                  <c:v>6434.5580425567823</c:v>
                </c:pt>
                <c:pt idx="6">
                  <c:v>7385.8996932691507</c:v>
                </c:pt>
                <c:pt idx="7">
                  <c:v>7028.9410486892411</c:v>
                </c:pt>
                <c:pt idx="8">
                  <c:v>6992.2574822344259</c:v>
                </c:pt>
                <c:pt idx="9">
                  <c:v>7313.5727130359137</c:v>
                </c:pt>
                <c:pt idx="10">
                  <c:v>5637.8457006281151</c:v>
                </c:pt>
                <c:pt idx="11">
                  <c:v>7491.9012282924195</c:v>
                </c:pt>
                <c:pt idx="12">
                  <c:v>4325.816346130252</c:v>
                </c:pt>
                <c:pt idx="13">
                  <c:v>6338.371730423587</c:v>
                </c:pt>
                <c:pt idx="14">
                  <c:v>8459.6313761382989</c:v>
                </c:pt>
                <c:pt idx="15">
                  <c:v>6714.6119537728155</c:v>
                </c:pt>
                <c:pt idx="16">
                  <c:v>5640.8876518866164</c:v>
                </c:pt>
                <c:pt idx="17">
                  <c:v>5528.557661235348</c:v>
                </c:pt>
                <c:pt idx="18">
                  <c:v>6213.3021183365672</c:v>
                </c:pt>
                <c:pt idx="19">
                  <c:v>8203.9713003829602</c:v>
                </c:pt>
                <c:pt idx="20">
                  <c:v>7429.0448915287352</c:v>
                </c:pt>
                <c:pt idx="21">
                  <c:v>9777.7350302687373</c:v>
                </c:pt>
                <c:pt idx="22">
                  <c:v>6330.2105951023168</c:v>
                </c:pt>
                <c:pt idx="23">
                  <c:v>7582.4787700808465</c:v>
                </c:pt>
                <c:pt idx="24">
                  <c:v>7119.2671238800376</c:v>
                </c:pt>
                <c:pt idx="25">
                  <c:v>6148.5963325928824</c:v>
                </c:pt>
                <c:pt idx="26">
                  <c:v>5922.9286710087163</c:v>
                </c:pt>
                <c:pt idx="27">
                  <c:v>6473.1891623515185</c:v>
                </c:pt>
                <c:pt idx="28">
                  <c:v>9245.288167057106</c:v>
                </c:pt>
                <c:pt idx="29">
                  <c:v>5838.0923745148784</c:v>
                </c:pt>
                <c:pt idx="30">
                  <c:v>8057.7916663550877</c:v>
                </c:pt>
                <c:pt idx="31">
                  <c:v>6012.341789819804</c:v>
                </c:pt>
                <c:pt idx="32">
                  <c:v>7039.3970037286526</c:v>
                </c:pt>
                <c:pt idx="33">
                  <c:v>5565.8817909300942</c:v>
                </c:pt>
                <c:pt idx="34">
                  <c:v>8115.4436661519539</c:v>
                </c:pt>
                <c:pt idx="35">
                  <c:v>5251.6395206382822</c:v>
                </c:pt>
                <c:pt idx="36">
                  <c:v>6838.0509162089038</c:v>
                </c:pt>
                <c:pt idx="37">
                  <c:v>7395.493721786378</c:v>
                </c:pt>
                <c:pt idx="38">
                  <c:v>6814.4567591571395</c:v>
                </c:pt>
                <c:pt idx="39">
                  <c:v>5629.6327965298369</c:v>
                </c:pt>
                <c:pt idx="40">
                  <c:v>6584.6915542415591</c:v>
                </c:pt>
                <c:pt idx="41">
                  <c:v>6244.2972328116621</c:v>
                </c:pt>
                <c:pt idx="42">
                  <c:v>6134.7117758529384</c:v>
                </c:pt>
                <c:pt idx="43">
                  <c:v>7807.1308648710001</c:v>
                </c:pt>
                <c:pt idx="44">
                  <c:v>6750.8090370349682</c:v>
                </c:pt>
                <c:pt idx="45">
                  <c:v>6675.132881069072</c:v>
                </c:pt>
                <c:pt idx="46">
                  <c:v>5752.9109510785456</c:v>
                </c:pt>
                <c:pt idx="47">
                  <c:v>7426.067508547656</c:v>
                </c:pt>
                <c:pt idx="48">
                  <c:v>7342.4091278424885</c:v>
                </c:pt>
                <c:pt idx="49">
                  <c:v>7320.6981870370273</c:v>
                </c:pt>
                <c:pt idx="50">
                  <c:v>6414.2521635693865</c:v>
                </c:pt>
                <c:pt idx="51">
                  <c:v>6355.4116036236064</c:v>
                </c:pt>
                <c:pt idx="52">
                  <c:v>7421.7888984057499</c:v>
                </c:pt>
                <c:pt idx="53">
                  <c:v>7425.9770644118908</c:v>
                </c:pt>
                <c:pt idx="54">
                  <c:v>5737.6079882774502</c:v>
                </c:pt>
                <c:pt idx="55">
                  <c:v>7026.3617925440994</c:v>
                </c:pt>
                <c:pt idx="56">
                  <c:v>5587.6833499403083</c:v>
                </c:pt>
                <c:pt idx="57">
                  <c:v>8198.8147193889454</c:v>
                </c:pt>
                <c:pt idx="58">
                  <c:v>5450.9115322261187</c:v>
                </c:pt>
                <c:pt idx="59">
                  <c:v>6440.5537834521419</c:v>
                </c:pt>
                <c:pt idx="60">
                  <c:v>7954.6283654775598</c:v>
                </c:pt>
                <c:pt idx="61">
                  <c:v>5179.7845285736148</c:v>
                </c:pt>
                <c:pt idx="62">
                  <c:v>8475.887442389936</c:v>
                </c:pt>
                <c:pt idx="63">
                  <c:v>6645.8122786186632</c:v>
                </c:pt>
                <c:pt idx="64">
                  <c:v>7462.6103814995968</c:v>
                </c:pt>
                <c:pt idx="65">
                  <c:v>5983.468057728569</c:v>
                </c:pt>
                <c:pt idx="66">
                  <c:v>7094.6408427847209</c:v>
                </c:pt>
                <c:pt idx="67">
                  <c:v>7859.3098557465801</c:v>
                </c:pt>
                <c:pt idx="68">
                  <c:v>7582.3718104691616</c:v>
                </c:pt>
                <c:pt idx="69">
                  <c:v>6525.6385267378773</c:v>
                </c:pt>
                <c:pt idx="70">
                  <c:v>4656.3704167594569</c:v>
                </c:pt>
                <c:pt idx="71">
                  <c:v>7072.2317718264931</c:v>
                </c:pt>
                <c:pt idx="72">
                  <c:v>5459.1813457943572</c:v>
                </c:pt>
                <c:pt idx="73">
                  <c:v>5968.0400565614855</c:v>
                </c:pt>
                <c:pt idx="74">
                  <c:v>8037.0798824313133</c:v>
                </c:pt>
                <c:pt idx="75">
                  <c:v>7015.3533742187337</c:v>
                </c:pt>
                <c:pt idx="76">
                  <c:v>6865.8638461320388</c:v>
                </c:pt>
                <c:pt idx="77">
                  <c:v>5291.499601928741</c:v>
                </c:pt>
                <c:pt idx="78">
                  <c:v>7407.728719571307</c:v>
                </c:pt>
                <c:pt idx="79">
                  <c:v>6176.9422699684337</c:v>
                </c:pt>
                <c:pt idx="80">
                  <c:v>6258.4663578374111</c:v>
                </c:pt>
                <c:pt idx="81">
                  <c:v>6688.8689111822387</c:v>
                </c:pt>
                <c:pt idx="82">
                  <c:v>6984.9428612078591</c:v>
                </c:pt>
                <c:pt idx="83">
                  <c:v>5969.031573251832</c:v>
                </c:pt>
                <c:pt idx="84">
                  <c:v>5643.60290542642</c:v>
                </c:pt>
                <c:pt idx="85">
                  <c:v>6581.5083737134719</c:v>
                </c:pt>
                <c:pt idx="86">
                  <c:v>5471.0079605516548</c:v>
                </c:pt>
                <c:pt idx="87">
                  <c:v>8319.5789468274088</c:v>
                </c:pt>
                <c:pt idx="88">
                  <c:v>7914.3646164986385</c:v>
                </c:pt>
                <c:pt idx="89">
                  <c:v>7921.8043033005451</c:v>
                </c:pt>
                <c:pt idx="90">
                  <c:v>7173.6800239607692</c:v>
                </c:pt>
                <c:pt idx="91">
                  <c:v>5026.2888687507802</c:v>
                </c:pt>
                <c:pt idx="92">
                  <c:v>6236.4617001044298</c:v>
                </c:pt>
                <c:pt idx="93">
                  <c:v>7441.3885760147932</c:v>
                </c:pt>
                <c:pt idx="94">
                  <c:v>5579.080326638752</c:v>
                </c:pt>
                <c:pt idx="95">
                  <c:v>6904.6070668714328</c:v>
                </c:pt>
                <c:pt idx="96">
                  <c:v>6711.5084593668671</c:v>
                </c:pt>
                <c:pt idx="97">
                  <c:v>5902.9493039088939</c:v>
                </c:pt>
                <c:pt idx="98">
                  <c:v>6043.5810938590503</c:v>
                </c:pt>
                <c:pt idx="99">
                  <c:v>7001.7338931028899</c:v>
                </c:pt>
                <c:pt idx="100">
                  <c:v>7917.4016238834447</c:v>
                </c:pt>
                <c:pt idx="101">
                  <c:v>5581.4986795181685</c:v>
                </c:pt>
                <c:pt idx="102">
                  <c:v>5941.0249508395291</c:v>
                </c:pt>
                <c:pt idx="103">
                  <c:v>4490.1445543756217</c:v>
                </c:pt>
                <c:pt idx="104">
                  <c:v>8231.2815637324529</c:v>
                </c:pt>
                <c:pt idx="105">
                  <c:v>6210.4278288745836</c:v>
                </c:pt>
                <c:pt idx="106">
                  <c:v>5737.7581790468867</c:v>
                </c:pt>
                <c:pt idx="107">
                  <c:v>5916.3253478527258</c:v>
                </c:pt>
                <c:pt idx="108">
                  <c:v>7090.8480861847311</c:v>
                </c:pt>
                <c:pt idx="109">
                  <c:v>7059.7859127696356</c:v>
                </c:pt>
                <c:pt idx="110">
                  <c:v>7189.3805684797553</c:v>
                </c:pt>
                <c:pt idx="111">
                  <c:v>7185.7809477897563</c:v>
                </c:pt>
                <c:pt idx="112">
                  <c:v>5987.4259301832881</c:v>
                </c:pt>
                <c:pt idx="113">
                  <c:v>5246.7527702358002</c:v>
                </c:pt>
                <c:pt idx="114">
                  <c:v>7336.8449895707563</c:v>
                </c:pt>
                <c:pt idx="115">
                  <c:v>5538.1403937117575</c:v>
                </c:pt>
                <c:pt idx="116">
                  <c:v>6396.7600911384225</c:v>
                </c:pt>
                <c:pt idx="117">
                  <c:v>7679.1132377666599</c:v>
                </c:pt>
                <c:pt idx="118">
                  <c:v>6564.2389930749623</c:v>
                </c:pt>
                <c:pt idx="119">
                  <c:v>8605.0781659123277</c:v>
                </c:pt>
                <c:pt idx="120">
                  <c:v>4895.0595856870077</c:v>
                </c:pt>
                <c:pt idx="121">
                  <c:v>5188.3897431126134</c:v>
                </c:pt>
                <c:pt idx="122">
                  <c:v>7412.8283592954067</c:v>
                </c:pt>
                <c:pt idx="123">
                  <c:v>7020.087478382995</c:v>
                </c:pt>
                <c:pt idx="124">
                  <c:v>7826.9260030331625</c:v>
                </c:pt>
                <c:pt idx="125">
                  <c:v>6863.5303629903901</c:v>
                </c:pt>
                <c:pt idx="126">
                  <c:v>5440.0224340942987</c:v>
                </c:pt>
                <c:pt idx="127">
                  <c:v>7448.2634378692346</c:v>
                </c:pt>
                <c:pt idx="128">
                  <c:v>6395.6494535105157</c:v>
                </c:pt>
                <c:pt idx="129">
                  <c:v>8320.4751721440625</c:v>
                </c:pt>
                <c:pt idx="130">
                  <c:v>5044.6283834455753</c:v>
                </c:pt>
                <c:pt idx="131">
                  <c:v>6788.5046897882085</c:v>
                </c:pt>
                <c:pt idx="132">
                  <c:v>8080.4479773573767</c:v>
                </c:pt>
                <c:pt idx="133">
                  <c:v>6401.2053444771182</c:v>
                </c:pt>
                <c:pt idx="134">
                  <c:v>5955.0202530770548</c:v>
                </c:pt>
                <c:pt idx="135">
                  <c:v>8221.8715549127555</c:v>
                </c:pt>
                <c:pt idx="136">
                  <c:v>7010.9220239340029</c:v>
                </c:pt>
                <c:pt idx="137">
                  <c:v>5647.7903782858575</c:v>
                </c:pt>
                <c:pt idx="138">
                  <c:v>7319.1745909496458</c:v>
                </c:pt>
                <c:pt idx="139">
                  <c:v>5316.0141020232986</c:v>
                </c:pt>
                <c:pt idx="140">
                  <c:v>6526.9706216861869</c:v>
                </c:pt>
                <c:pt idx="141">
                  <c:v>6115.6081284637148</c:v>
                </c:pt>
                <c:pt idx="142">
                  <c:v>6850.9405779809276</c:v>
                </c:pt>
                <c:pt idx="143">
                  <c:v>5551.5410820906254</c:v>
                </c:pt>
                <c:pt idx="144">
                  <c:v>7007.6198487754082</c:v>
                </c:pt>
                <c:pt idx="145">
                  <c:v>6383.3406797421958</c:v>
                </c:pt>
                <c:pt idx="146">
                  <c:v>6082.2927822092515</c:v>
                </c:pt>
                <c:pt idx="147">
                  <c:v>6715.1556893715369</c:v>
                </c:pt>
                <c:pt idx="148">
                  <c:v>5311.2410418874733</c:v>
                </c:pt>
                <c:pt idx="149">
                  <c:v>7095.952202431059</c:v>
                </c:pt>
                <c:pt idx="150">
                  <c:v>6764.2044965702207</c:v>
                </c:pt>
                <c:pt idx="151">
                  <c:v>5843.8639705563473</c:v>
                </c:pt>
                <c:pt idx="152">
                  <c:v>5081.3312886507829</c:v>
                </c:pt>
                <c:pt idx="153">
                  <c:v>9021.7282486534841</c:v>
                </c:pt>
                <c:pt idx="154">
                  <c:v>6841.6287408688695</c:v>
                </c:pt>
                <c:pt idx="155">
                  <c:v>5298.9744482881833</c:v>
                </c:pt>
                <c:pt idx="156">
                  <c:v>6030.5689553902321</c:v>
                </c:pt>
                <c:pt idx="157">
                  <c:v>6451.2206215747756</c:v>
                </c:pt>
                <c:pt idx="158">
                  <c:v>7002.217221918615</c:v>
                </c:pt>
                <c:pt idx="159">
                  <c:v>7082.3338924129494</c:v>
                </c:pt>
                <c:pt idx="160">
                  <c:v>6614.1982037030812</c:v>
                </c:pt>
                <c:pt idx="161">
                  <c:v>6401.9109500494451</c:v>
                </c:pt>
                <c:pt idx="162">
                  <c:v>7125.0534219469282</c:v>
                </c:pt>
                <c:pt idx="163">
                  <c:v>7129.4348005908905</c:v>
                </c:pt>
                <c:pt idx="164">
                  <c:v>6637.2630694134004</c:v>
                </c:pt>
                <c:pt idx="165">
                  <c:v>8101.5433996830088</c:v>
                </c:pt>
                <c:pt idx="166">
                  <c:v>5094.4663712954716</c:v>
                </c:pt>
                <c:pt idx="167">
                  <c:v>6936.2278809500185</c:v>
                </c:pt>
                <c:pt idx="168">
                  <c:v>6471.6471572961818</c:v>
                </c:pt>
                <c:pt idx="169">
                  <c:v>7513.6190458135679</c:v>
                </c:pt>
                <c:pt idx="170">
                  <c:v>7683.4345403626485</c:v>
                </c:pt>
                <c:pt idx="171">
                  <c:v>6458.8615740917558</c:v>
                </c:pt>
                <c:pt idx="172">
                  <c:v>7381.4751856723469</c:v>
                </c:pt>
                <c:pt idx="173">
                  <c:v>7535.7331618621465</c:v>
                </c:pt>
                <c:pt idx="174">
                  <c:v>6525.805264539129</c:v>
                </c:pt>
                <c:pt idx="175">
                  <c:v>7179.2773565195448</c:v>
                </c:pt>
                <c:pt idx="176">
                  <c:v>8869.0903280728689</c:v>
                </c:pt>
                <c:pt idx="177">
                  <c:v>5595.3071816209103</c:v>
                </c:pt>
                <c:pt idx="178">
                  <c:v>7706.7840164027839</c:v>
                </c:pt>
                <c:pt idx="179">
                  <c:v>6264.0604302614138</c:v>
                </c:pt>
                <c:pt idx="180">
                  <c:v>4135.1050112230187</c:v>
                </c:pt>
                <c:pt idx="181">
                  <c:v>5777.9588190766426</c:v>
                </c:pt>
                <c:pt idx="182">
                  <c:v>8017.9013179620206</c:v>
                </c:pt>
                <c:pt idx="183">
                  <c:v>7714.1198656529559</c:v>
                </c:pt>
                <c:pt idx="184">
                  <c:v>6783.2047723373653</c:v>
                </c:pt>
                <c:pt idx="185">
                  <c:v>6050.03712742057</c:v>
                </c:pt>
                <c:pt idx="186">
                  <c:v>4822.9202822703555</c:v>
                </c:pt>
                <c:pt idx="187">
                  <c:v>6575.9334070372333</c:v>
                </c:pt>
                <c:pt idx="188">
                  <c:v>8273.7316912851347</c:v>
                </c:pt>
                <c:pt idx="189">
                  <c:v>7375.2599245781939</c:v>
                </c:pt>
                <c:pt idx="190">
                  <c:v>6541.9879149211829</c:v>
                </c:pt>
                <c:pt idx="191">
                  <c:v>7192.0438357179682</c:v>
                </c:pt>
                <c:pt idx="192">
                  <c:v>5149.6800210966285</c:v>
                </c:pt>
                <c:pt idx="193">
                  <c:v>9062.6323026990467</c:v>
                </c:pt>
                <c:pt idx="194">
                  <c:v>6192.0393539257748</c:v>
                </c:pt>
                <c:pt idx="195">
                  <c:v>5813.9508872200877</c:v>
                </c:pt>
                <c:pt idx="196">
                  <c:v>5031.5290137714528</c:v>
                </c:pt>
                <c:pt idx="197">
                  <c:v>5320.1528759481607</c:v>
                </c:pt>
                <c:pt idx="198">
                  <c:v>7939.1964429866312</c:v>
                </c:pt>
                <c:pt idx="199">
                  <c:v>7081.4384300455167</c:v>
                </c:pt>
                <c:pt idx="200">
                  <c:v>5474.5319808282165</c:v>
                </c:pt>
                <c:pt idx="201">
                  <c:v>6093.7329547406225</c:v>
                </c:pt>
                <c:pt idx="202">
                  <c:v>7087.831862383613</c:v>
                </c:pt>
                <c:pt idx="203">
                  <c:v>7256.6694131126042</c:v>
                </c:pt>
                <c:pt idx="204">
                  <c:v>6599.3954002212267</c:v>
                </c:pt>
                <c:pt idx="205">
                  <c:v>6976.0739320712382</c:v>
                </c:pt>
                <c:pt idx="206">
                  <c:v>6414.016191722274</c:v>
                </c:pt>
                <c:pt idx="207">
                  <c:v>6855.88797093635</c:v>
                </c:pt>
                <c:pt idx="208">
                  <c:v>7946.2362689146794</c:v>
                </c:pt>
                <c:pt idx="209">
                  <c:v>7566.2664246285622</c:v>
                </c:pt>
                <c:pt idx="210">
                  <c:v>6665.160609567527</c:v>
                </c:pt>
                <c:pt idx="211">
                  <c:v>8000.310859048559</c:v>
                </c:pt>
                <c:pt idx="212">
                  <c:v>5146.7428083536433</c:v>
                </c:pt>
                <c:pt idx="213">
                  <c:v>7626.9878174988862</c:v>
                </c:pt>
                <c:pt idx="214">
                  <c:v>5737.4442243204248</c:v>
                </c:pt>
                <c:pt idx="215">
                  <c:v>8273.2494907269574</c:v>
                </c:pt>
                <c:pt idx="216">
                  <c:v>8073.5657763514291</c:v>
                </c:pt>
                <c:pt idx="217">
                  <c:v>7506.8240076723378</c:v>
                </c:pt>
                <c:pt idx="218">
                  <c:v>7400.6614054659476</c:v>
                </c:pt>
                <c:pt idx="219">
                  <c:v>7369.9260848505428</c:v>
                </c:pt>
                <c:pt idx="220">
                  <c:v>6098.7699552754675</c:v>
                </c:pt>
                <c:pt idx="221">
                  <c:v>6306.6560863477343</c:v>
                </c:pt>
                <c:pt idx="222">
                  <c:v>5086.7373625888304</c:v>
                </c:pt>
                <c:pt idx="223">
                  <c:v>7737.050890808483</c:v>
                </c:pt>
                <c:pt idx="224">
                  <c:v>5318.8987725558745</c:v>
                </c:pt>
                <c:pt idx="225">
                  <c:v>6655.7526583916933</c:v>
                </c:pt>
                <c:pt idx="226">
                  <c:v>5416.2454310636422</c:v>
                </c:pt>
                <c:pt idx="227">
                  <c:v>4060.6839825882707</c:v>
                </c:pt>
                <c:pt idx="228">
                  <c:v>5434.3128854168754</c:v>
                </c:pt>
                <c:pt idx="229">
                  <c:v>6826.790691401211</c:v>
                </c:pt>
                <c:pt idx="230">
                  <c:v>9738.4402143983662</c:v>
                </c:pt>
                <c:pt idx="231">
                  <c:v>8172.3228652540874</c:v>
                </c:pt>
                <c:pt idx="232">
                  <c:v>5335.1733215344884</c:v>
                </c:pt>
                <c:pt idx="233">
                  <c:v>7937.8278175184314</c:v>
                </c:pt>
                <c:pt idx="234">
                  <c:v>7018.3800708394429</c:v>
                </c:pt>
                <c:pt idx="235">
                  <c:v>6880.5793496814895</c:v>
                </c:pt>
                <c:pt idx="236">
                  <c:v>8321.0793739656583</c:v>
                </c:pt>
                <c:pt idx="237">
                  <c:v>6564.8475266920341</c:v>
                </c:pt>
                <c:pt idx="238">
                  <c:v>6371.2468146849351</c:v>
                </c:pt>
                <c:pt idx="239">
                  <c:v>4801.6297627771582</c:v>
                </c:pt>
                <c:pt idx="240">
                  <c:v>8496.612792220194</c:v>
                </c:pt>
                <c:pt idx="241">
                  <c:v>6527.8798329872352</c:v>
                </c:pt>
                <c:pt idx="242">
                  <c:v>7390.0597658762199</c:v>
                </c:pt>
                <c:pt idx="243">
                  <c:v>5787.995952538804</c:v>
                </c:pt>
                <c:pt idx="244">
                  <c:v>7854.7978616342625</c:v>
                </c:pt>
                <c:pt idx="245">
                  <c:v>7002.2337829155258</c:v>
                </c:pt>
                <c:pt idx="246">
                  <c:v>7492.880650319752</c:v>
                </c:pt>
                <c:pt idx="247">
                  <c:v>7643.8248082024056</c:v>
                </c:pt>
                <c:pt idx="248">
                  <c:v>4779.9342566374016</c:v>
                </c:pt>
                <c:pt idx="249">
                  <c:v>9155.4764225878644</c:v>
                </c:pt>
                <c:pt idx="250">
                  <c:v>7758.5238241055504</c:v>
                </c:pt>
                <c:pt idx="251">
                  <c:v>7014.1762069283159</c:v>
                </c:pt>
                <c:pt idx="252">
                  <c:v>5097.6689369082178</c:v>
                </c:pt>
                <c:pt idx="253">
                  <c:v>6266.4024923289962</c:v>
                </c:pt>
                <c:pt idx="254">
                  <c:v>8218.6775925688671</c:v>
                </c:pt>
                <c:pt idx="255">
                  <c:v>6850.8970579367342</c:v>
                </c:pt>
                <c:pt idx="256">
                  <c:v>8341.4408405078539</c:v>
                </c:pt>
                <c:pt idx="257">
                  <c:v>4953.3450860258781</c:v>
                </c:pt>
                <c:pt idx="258">
                  <c:v>7328.6057601595712</c:v>
                </c:pt>
                <c:pt idx="259">
                  <c:v>4923.454490810519</c:v>
                </c:pt>
                <c:pt idx="260">
                  <c:v>5678.2450287380943</c:v>
                </c:pt>
                <c:pt idx="261">
                  <c:v>6483.6680174011817</c:v>
                </c:pt>
                <c:pt idx="262">
                  <c:v>6352.2466793681579</c:v>
                </c:pt>
                <c:pt idx="263">
                  <c:v>7455.7263209778657</c:v>
                </c:pt>
                <c:pt idx="264">
                  <c:v>7735.4849942460314</c:v>
                </c:pt>
                <c:pt idx="265">
                  <c:v>7343.8175026776898</c:v>
                </c:pt>
                <c:pt idx="266">
                  <c:v>6881.5200933082833</c:v>
                </c:pt>
                <c:pt idx="267">
                  <c:v>7922.2393561809713</c:v>
                </c:pt>
                <c:pt idx="268">
                  <c:v>8142.4719423619172</c:v>
                </c:pt>
                <c:pt idx="269">
                  <c:v>7423.2187261713334</c:v>
                </c:pt>
                <c:pt idx="270">
                  <c:v>3785.9288400282931</c:v>
                </c:pt>
                <c:pt idx="271">
                  <c:v>8281.4737054751604</c:v>
                </c:pt>
                <c:pt idx="272">
                  <c:v>7392.9434734295046</c:v>
                </c:pt>
                <c:pt idx="273">
                  <c:v>5999.3567612780407</c:v>
                </c:pt>
                <c:pt idx="274">
                  <c:v>6525.1037689612585</c:v>
                </c:pt>
                <c:pt idx="275">
                  <c:v>6648.3366381669985</c:v>
                </c:pt>
                <c:pt idx="276">
                  <c:v>8300.1680932435593</c:v>
                </c:pt>
                <c:pt idx="277">
                  <c:v>9178.3087263258349</c:v>
                </c:pt>
                <c:pt idx="278">
                  <c:v>4277.1957298981524</c:v>
                </c:pt>
                <c:pt idx="279">
                  <c:v>8087.6709398044413</c:v>
                </c:pt>
                <c:pt idx="280">
                  <c:v>7465.9620764457613</c:v>
                </c:pt>
                <c:pt idx="281">
                  <c:v>8163.058530949048</c:v>
                </c:pt>
                <c:pt idx="282">
                  <c:v>6657.0847224076733</c:v>
                </c:pt>
                <c:pt idx="283">
                  <c:v>7145.027292490875</c:v>
                </c:pt>
                <c:pt idx="284">
                  <c:v>9665.1541731120378</c:v>
                </c:pt>
                <c:pt idx="285">
                  <c:v>7446.9299586205061</c:v>
                </c:pt>
                <c:pt idx="286">
                  <c:v>7697.7754038971416</c:v>
                </c:pt>
                <c:pt idx="287">
                  <c:v>7036.6454119151258</c:v>
                </c:pt>
                <c:pt idx="288">
                  <c:v>9439.3938235957285</c:v>
                </c:pt>
                <c:pt idx="289">
                  <c:v>6985.8722137132954</c:v>
                </c:pt>
                <c:pt idx="290">
                  <c:v>7359.7333357583311</c:v>
                </c:pt>
                <c:pt idx="291">
                  <c:v>6153.9684727640652</c:v>
                </c:pt>
                <c:pt idx="292">
                  <c:v>6725.6021300647735</c:v>
                </c:pt>
                <c:pt idx="293">
                  <c:v>5831.1773480624797</c:v>
                </c:pt>
                <c:pt idx="294">
                  <c:v>4953.2349822917704</c:v>
                </c:pt>
                <c:pt idx="295">
                  <c:v>6874.8950673128475</c:v>
                </c:pt>
                <c:pt idx="296">
                  <c:v>6541.4177801001488</c:v>
                </c:pt>
                <c:pt idx="297">
                  <c:v>5235.0248825421204</c:v>
                </c:pt>
                <c:pt idx="298">
                  <c:v>6992.7621691533514</c:v>
                </c:pt>
                <c:pt idx="299">
                  <c:v>7614.6313122748825</c:v>
                </c:pt>
                <c:pt idx="300">
                  <c:v>6907.1332207650303</c:v>
                </c:pt>
                <c:pt idx="301">
                  <c:v>6666.1198899034571</c:v>
                </c:pt>
                <c:pt idx="302">
                  <c:v>6721.6524648370705</c:v>
                </c:pt>
                <c:pt idx="303">
                  <c:v>5472.7526067953859</c:v>
                </c:pt>
                <c:pt idx="304">
                  <c:v>8522.4947020510463</c:v>
                </c:pt>
                <c:pt idx="305">
                  <c:v>6415.9558512772055</c:v>
                </c:pt>
                <c:pt idx="306">
                  <c:v>5426.5135024148894</c:v>
                </c:pt>
                <c:pt idx="307">
                  <c:v>6908.3725313036539</c:v>
                </c:pt>
                <c:pt idx="308">
                  <c:v>7569.2631863174083</c:v>
                </c:pt>
                <c:pt idx="309">
                  <c:v>5433.7706274189422</c:v>
                </c:pt>
                <c:pt idx="310">
                  <c:v>4135.8326139289547</c:v>
                </c:pt>
                <c:pt idx="311">
                  <c:v>7770.850199905175</c:v>
                </c:pt>
                <c:pt idx="312">
                  <c:v>7794.8626566842158</c:v>
                </c:pt>
                <c:pt idx="313">
                  <c:v>7789.1897665661036</c:v>
                </c:pt>
                <c:pt idx="314">
                  <c:v>7030.3919874275853</c:v>
                </c:pt>
                <c:pt idx="315">
                  <c:v>7677.6042571058315</c:v>
                </c:pt>
                <c:pt idx="316">
                  <c:v>7081.3536463047003</c:v>
                </c:pt>
                <c:pt idx="317">
                  <c:v>5949.787670683294</c:v>
                </c:pt>
                <c:pt idx="318">
                  <c:v>5946.7989208035415</c:v>
                </c:pt>
                <c:pt idx="319">
                  <c:v>6528.1782914091546</c:v>
                </c:pt>
                <c:pt idx="320">
                  <c:v>6679.6818961217632</c:v>
                </c:pt>
                <c:pt idx="321">
                  <c:v>8001.3187586154818</c:v>
                </c:pt>
                <c:pt idx="322">
                  <c:v>6045.7461687762116</c:v>
                </c:pt>
                <c:pt idx="323">
                  <c:v>8164.2434578874281</c:v>
                </c:pt>
                <c:pt idx="324">
                  <c:v>6918.1222979945305</c:v>
                </c:pt>
                <c:pt idx="325">
                  <c:v>5894.7900876507683</c:v>
                </c:pt>
                <c:pt idx="326">
                  <c:v>7339.6694318706595</c:v>
                </c:pt>
                <c:pt idx="327">
                  <c:v>6689.211001168449</c:v>
                </c:pt>
                <c:pt idx="328">
                  <c:v>5868.4966401144975</c:v>
                </c:pt>
                <c:pt idx="329">
                  <c:v>7976.064088751451</c:v>
                </c:pt>
                <c:pt idx="330">
                  <c:v>4908.9489294555569</c:v>
                </c:pt>
                <c:pt idx="331">
                  <c:v>6910.4319414111214</c:v>
                </c:pt>
                <c:pt idx="332">
                  <c:v>6017.7421875100372</c:v>
                </c:pt>
                <c:pt idx="333">
                  <c:v>5247.8770115079715</c:v>
                </c:pt>
                <c:pt idx="334">
                  <c:v>8173.1519852701367</c:v>
                </c:pt>
                <c:pt idx="335">
                  <c:v>7647.7862711501684</c:v>
                </c:pt>
                <c:pt idx="336">
                  <c:v>6882.9836711791268</c:v>
                </c:pt>
                <c:pt idx="337">
                  <c:v>8427.9606362868435</c:v>
                </c:pt>
                <c:pt idx="338">
                  <c:v>6745.0770556784119</c:v>
                </c:pt>
                <c:pt idx="339">
                  <c:v>5250.5982277389758</c:v>
                </c:pt>
                <c:pt idx="340">
                  <c:v>7764.1265810748155</c:v>
                </c:pt>
                <c:pt idx="341">
                  <c:v>5219.5163846503583</c:v>
                </c:pt>
                <c:pt idx="342">
                  <c:v>6641.168989297099</c:v>
                </c:pt>
                <c:pt idx="343">
                  <c:v>6159.7412206097288</c:v>
                </c:pt>
                <c:pt idx="344">
                  <c:v>6961.1471693402473</c:v>
                </c:pt>
                <c:pt idx="345">
                  <c:v>5797.5307633565808</c:v>
                </c:pt>
                <c:pt idx="346">
                  <c:v>7684.0829456115425</c:v>
                </c:pt>
                <c:pt idx="347">
                  <c:v>7825.3628523793886</c:v>
                </c:pt>
                <c:pt idx="348">
                  <c:v>8379.2235404950497</c:v>
                </c:pt>
                <c:pt idx="349">
                  <c:v>8707.0610990458736</c:v>
                </c:pt>
                <c:pt idx="350">
                  <c:v>6358.8242151285958</c:v>
                </c:pt>
                <c:pt idx="351">
                  <c:v>6993.5118538503375</c:v>
                </c:pt>
                <c:pt idx="352">
                  <c:v>7083.2377935854929</c:v>
                </c:pt>
                <c:pt idx="353">
                  <c:v>5422.8270707468255</c:v>
                </c:pt>
                <c:pt idx="354">
                  <c:v>5530.4955258682185</c:v>
                </c:pt>
                <c:pt idx="355">
                  <c:v>6486.6408610896769</c:v>
                </c:pt>
                <c:pt idx="356">
                  <c:v>7530.1257453572034</c:v>
                </c:pt>
                <c:pt idx="357">
                  <c:v>5457.8826909454438</c:v>
                </c:pt>
                <c:pt idx="358">
                  <c:v>5692.039936787065</c:v>
                </c:pt>
                <c:pt idx="359">
                  <c:v>6498.2204380389594</c:v>
                </c:pt>
                <c:pt idx="360">
                  <c:v>6493.6699034578678</c:v>
                </c:pt>
                <c:pt idx="361">
                  <c:v>7672.8338921970662</c:v>
                </c:pt>
                <c:pt idx="362">
                  <c:v>6348.2915796325651</c:v>
                </c:pt>
                <c:pt idx="363">
                  <c:v>10197.291598231815</c:v>
                </c:pt>
                <c:pt idx="364">
                  <c:v>8164.0766714965084</c:v>
                </c:pt>
                <c:pt idx="365">
                  <c:v>8798.097383834287</c:v>
                </c:pt>
                <c:pt idx="366">
                  <c:v>8211.8130722507467</c:v>
                </c:pt>
                <c:pt idx="367">
                  <c:v>7434.6537187277081</c:v>
                </c:pt>
                <c:pt idx="368">
                  <c:v>6920.3606661010799</c:v>
                </c:pt>
                <c:pt idx="369">
                  <c:v>7434.6563595779644</c:v>
                </c:pt>
                <c:pt idx="370">
                  <c:v>8189.8474729800164</c:v>
                </c:pt>
                <c:pt idx="371">
                  <c:v>6392.1629081356987</c:v>
                </c:pt>
                <c:pt idx="372">
                  <c:v>7803.2711416838447</c:v>
                </c:pt>
                <c:pt idx="373">
                  <c:v>7677.0435682041061</c:v>
                </c:pt>
                <c:pt idx="374">
                  <c:v>8417.730646715685</c:v>
                </c:pt>
                <c:pt idx="375">
                  <c:v>5801.0926680357852</c:v>
                </c:pt>
                <c:pt idx="376">
                  <c:v>7101.244103925681</c:v>
                </c:pt>
                <c:pt idx="377">
                  <c:v>7869.1460837499189</c:v>
                </c:pt>
                <c:pt idx="378">
                  <c:v>4858.5098022080474</c:v>
                </c:pt>
                <c:pt idx="379">
                  <c:v>8182.2159983324236</c:v>
                </c:pt>
                <c:pt idx="380">
                  <c:v>7469.753294177608</c:v>
                </c:pt>
                <c:pt idx="381">
                  <c:v>7818.5159861334087</c:v>
                </c:pt>
                <c:pt idx="382">
                  <c:v>6561.8776630168413</c:v>
                </c:pt>
                <c:pt idx="383">
                  <c:v>5264.1522189681418</c:v>
                </c:pt>
                <c:pt idx="384">
                  <c:v>7915.7270971060116</c:v>
                </c:pt>
                <c:pt idx="385">
                  <c:v>6271.0660469064078</c:v>
                </c:pt>
                <c:pt idx="386">
                  <c:v>8872.8195702420689</c:v>
                </c:pt>
                <c:pt idx="387">
                  <c:v>7350.8213099147961</c:v>
                </c:pt>
                <c:pt idx="388">
                  <c:v>6424.7928856980743</c:v>
                </c:pt>
                <c:pt idx="389">
                  <c:v>6830.3076675488883</c:v>
                </c:pt>
                <c:pt idx="390">
                  <c:v>5049.2621570054125</c:v>
                </c:pt>
                <c:pt idx="391">
                  <c:v>5593.0620930674322</c:v>
                </c:pt>
                <c:pt idx="392">
                  <c:v>6688.2504110131158</c:v>
                </c:pt>
                <c:pt idx="393">
                  <c:v>6680.3859115624145</c:v>
                </c:pt>
                <c:pt idx="394">
                  <c:v>6501.3866487395007</c:v>
                </c:pt>
                <c:pt idx="395">
                  <c:v>7769.7940896429336</c:v>
                </c:pt>
                <c:pt idx="396">
                  <c:v>7334.3588491375058</c:v>
                </c:pt>
                <c:pt idx="397">
                  <c:v>5290.8434266878558</c:v>
                </c:pt>
                <c:pt idx="398">
                  <c:v>7111.8866543188997</c:v>
                </c:pt>
                <c:pt idx="399">
                  <c:v>7968.6678910066803</c:v>
                </c:pt>
                <c:pt idx="400">
                  <c:v>7300.1688235054244</c:v>
                </c:pt>
                <c:pt idx="401">
                  <c:v>6384.3971420740654</c:v>
                </c:pt>
                <c:pt idx="402">
                  <c:v>8889.0383792176381</c:v>
                </c:pt>
                <c:pt idx="403">
                  <c:v>7021.0168025201292</c:v>
                </c:pt>
                <c:pt idx="404">
                  <c:v>5561.8996384873662</c:v>
                </c:pt>
                <c:pt idx="405">
                  <c:v>6937.499838519414</c:v>
                </c:pt>
                <c:pt idx="406">
                  <c:v>6476.4723346921037</c:v>
                </c:pt>
                <c:pt idx="407">
                  <c:v>8206.9268874672871</c:v>
                </c:pt>
                <c:pt idx="408">
                  <c:v>6725.4406862583892</c:v>
                </c:pt>
                <c:pt idx="409">
                  <c:v>8927.8719742930534</c:v>
                </c:pt>
                <c:pt idx="410">
                  <c:v>7479.8918045826185</c:v>
                </c:pt>
                <c:pt idx="411">
                  <c:v>7761.9380976702159</c:v>
                </c:pt>
                <c:pt idx="412">
                  <c:v>7682.1761595215776</c:v>
                </c:pt>
                <c:pt idx="413">
                  <c:v>4112.4290272664821</c:v>
                </c:pt>
                <c:pt idx="414">
                  <c:v>7944.6629391382521</c:v>
                </c:pt>
                <c:pt idx="415">
                  <c:v>6595.6709746542274</c:v>
                </c:pt>
                <c:pt idx="416">
                  <c:v>6760.1958239796404</c:v>
                </c:pt>
                <c:pt idx="417">
                  <c:v>8378.2755434724277</c:v>
                </c:pt>
                <c:pt idx="418">
                  <c:v>9736.188704578246</c:v>
                </c:pt>
                <c:pt idx="419">
                  <c:v>5786.1398619962783</c:v>
                </c:pt>
                <c:pt idx="420">
                  <c:v>7390.2327659519869</c:v>
                </c:pt>
                <c:pt idx="421">
                  <c:v>6419.4829253204771</c:v>
                </c:pt>
                <c:pt idx="422">
                  <c:v>7662.2224065582759</c:v>
                </c:pt>
                <c:pt idx="423">
                  <c:v>5717.1950410251211</c:v>
                </c:pt>
                <c:pt idx="424">
                  <c:v>8110.3400537622765</c:v>
                </c:pt>
                <c:pt idx="425">
                  <c:v>5249.8349870950588</c:v>
                </c:pt>
                <c:pt idx="426">
                  <c:v>8100.0605596390578</c:v>
                </c:pt>
                <c:pt idx="427">
                  <c:v>7393.1868475447445</c:v>
                </c:pt>
                <c:pt idx="428">
                  <c:v>5988.9815412937933</c:v>
                </c:pt>
                <c:pt idx="429">
                  <c:v>6463.2560014257233</c:v>
                </c:pt>
                <c:pt idx="430">
                  <c:v>7548.4804736302485</c:v>
                </c:pt>
                <c:pt idx="431">
                  <c:v>4683.8745302240641</c:v>
                </c:pt>
                <c:pt idx="432">
                  <c:v>5964.244269612429</c:v>
                </c:pt>
                <c:pt idx="433">
                  <c:v>7422.2493554974626</c:v>
                </c:pt>
                <c:pt idx="434">
                  <c:v>6395.5585826410443</c:v>
                </c:pt>
                <c:pt idx="435">
                  <c:v>5589.7713123824469</c:v>
                </c:pt>
                <c:pt idx="436">
                  <c:v>6199.3075696566866</c:v>
                </c:pt>
                <c:pt idx="437">
                  <c:v>6651.7265688067582</c:v>
                </c:pt>
                <c:pt idx="438">
                  <c:v>9286.432315901824</c:v>
                </c:pt>
                <c:pt idx="439">
                  <c:v>6291.0387400828949</c:v>
                </c:pt>
                <c:pt idx="440">
                  <c:v>6231.6773589079858</c:v>
                </c:pt>
                <c:pt idx="441">
                  <c:v>6436.4519000482978</c:v>
                </c:pt>
                <c:pt idx="442">
                  <c:v>6898.2640272742419</c:v>
                </c:pt>
                <c:pt idx="443">
                  <c:v>4106.7218462717374</c:v>
                </c:pt>
                <c:pt idx="444">
                  <c:v>6881.2054167525985</c:v>
                </c:pt>
                <c:pt idx="445">
                  <c:v>7288.4844635210466</c:v>
                </c:pt>
                <c:pt idx="446">
                  <c:v>7910.6617605761021</c:v>
                </c:pt>
                <c:pt idx="447">
                  <c:v>7897.2266214062438</c:v>
                </c:pt>
                <c:pt idx="448">
                  <c:v>6373.6698178295501</c:v>
                </c:pt>
                <c:pt idx="449">
                  <c:v>6320.5566235759306</c:v>
                </c:pt>
                <c:pt idx="450">
                  <c:v>8181.0443214497864</c:v>
                </c:pt>
                <c:pt idx="451">
                  <c:v>5721.9841642579777</c:v>
                </c:pt>
                <c:pt idx="452">
                  <c:v>8153.7535906195553</c:v>
                </c:pt>
                <c:pt idx="453">
                  <c:v>7670.6656264850171</c:v>
                </c:pt>
                <c:pt idx="454">
                  <c:v>6117.1535531491154</c:v>
                </c:pt>
                <c:pt idx="455">
                  <c:v>6994.6216923422307</c:v>
                </c:pt>
                <c:pt idx="456">
                  <c:v>7895.3028696146121</c:v>
                </c:pt>
                <c:pt idx="457">
                  <c:v>7187.1368653410545</c:v>
                </c:pt>
                <c:pt idx="458">
                  <c:v>9020.5639160382088</c:v>
                </c:pt>
                <c:pt idx="459">
                  <c:v>8135.2865337166304</c:v>
                </c:pt>
                <c:pt idx="460">
                  <c:v>8193.1314722585903</c:v>
                </c:pt>
                <c:pt idx="461">
                  <c:v>6793.3768309800898</c:v>
                </c:pt>
                <c:pt idx="462">
                  <c:v>4968.572166718177</c:v>
                </c:pt>
                <c:pt idx="463">
                  <c:v>8779.5087738716811</c:v>
                </c:pt>
                <c:pt idx="464">
                  <c:v>6384.8665575106115</c:v>
                </c:pt>
                <c:pt idx="465">
                  <c:v>8117.7854072661739</c:v>
                </c:pt>
                <c:pt idx="466">
                  <c:v>6030.9948057383281</c:v>
                </c:pt>
                <c:pt idx="467">
                  <c:v>8332.4768738473213</c:v>
                </c:pt>
                <c:pt idx="468">
                  <c:v>6810.057951435605</c:v>
                </c:pt>
                <c:pt idx="469">
                  <c:v>7073.0395112363512</c:v>
                </c:pt>
                <c:pt idx="470">
                  <c:v>7362.9206925443905</c:v>
                </c:pt>
                <c:pt idx="471">
                  <c:v>6045.7306812749666</c:v>
                </c:pt>
                <c:pt idx="472">
                  <c:v>6474.3925463691703</c:v>
                </c:pt>
                <c:pt idx="473">
                  <c:v>7083.5658890263985</c:v>
                </c:pt>
                <c:pt idx="474">
                  <c:v>6499.8075327565675</c:v>
                </c:pt>
                <c:pt idx="475">
                  <c:v>5530.3305354405893</c:v>
                </c:pt>
                <c:pt idx="476">
                  <c:v>8096.7587739118953</c:v>
                </c:pt>
                <c:pt idx="477">
                  <c:v>5942.7122104341925</c:v>
                </c:pt>
                <c:pt idx="478">
                  <c:v>5313.0226384083198</c:v>
                </c:pt>
                <c:pt idx="479">
                  <c:v>8365.9440322238897</c:v>
                </c:pt>
                <c:pt idx="480">
                  <c:v>5414.3092609256291</c:v>
                </c:pt>
                <c:pt idx="481">
                  <c:v>5757.1163199233852</c:v>
                </c:pt>
                <c:pt idx="482">
                  <c:v>7283.4621542360437</c:v>
                </c:pt>
                <c:pt idx="483">
                  <c:v>7828.3598265481032</c:v>
                </c:pt>
                <c:pt idx="484">
                  <c:v>7206.9059356109483</c:v>
                </c:pt>
                <c:pt idx="485">
                  <c:v>7267.6391386759115</c:v>
                </c:pt>
                <c:pt idx="486">
                  <c:v>6052.3853258203235</c:v>
                </c:pt>
                <c:pt idx="487">
                  <c:v>6319.2242948384901</c:v>
                </c:pt>
                <c:pt idx="488">
                  <c:v>7841.7125520881655</c:v>
                </c:pt>
                <c:pt idx="489">
                  <c:v>7212.9352641286659</c:v>
                </c:pt>
                <c:pt idx="490">
                  <c:v>5743.0076730151632</c:v>
                </c:pt>
                <c:pt idx="491">
                  <c:v>7809.6275727478751</c:v>
                </c:pt>
                <c:pt idx="492">
                  <c:v>4989.946367222281</c:v>
                </c:pt>
                <c:pt idx="493">
                  <c:v>6130.6549696091442</c:v>
                </c:pt>
                <c:pt idx="494">
                  <c:v>8273.1775803395412</c:v>
                </c:pt>
                <c:pt idx="495">
                  <c:v>5347.8667951490752</c:v>
                </c:pt>
                <c:pt idx="496">
                  <c:v>4937.6105842752495</c:v>
                </c:pt>
                <c:pt idx="497">
                  <c:v>7075.0978555155853</c:v>
                </c:pt>
                <c:pt idx="498">
                  <c:v>7720.9846529548568</c:v>
                </c:pt>
                <c:pt idx="499">
                  <c:v>6469.125362810255</c:v>
                </c:pt>
                <c:pt idx="500">
                  <c:v>6335.1164934890567</c:v>
                </c:pt>
                <c:pt idx="501">
                  <c:v>6117.1375883395867</c:v>
                </c:pt>
                <c:pt idx="502">
                  <c:v>6038.2675446850862</c:v>
                </c:pt>
                <c:pt idx="503">
                  <c:v>7787.050354447083</c:v>
                </c:pt>
                <c:pt idx="504">
                  <c:v>6751.2614936083964</c:v>
                </c:pt>
                <c:pt idx="505">
                  <c:v>7495.0384173241127</c:v>
                </c:pt>
                <c:pt idx="506">
                  <c:v>6916.4254314580285</c:v>
                </c:pt>
                <c:pt idx="507">
                  <c:v>9705.5226213420046</c:v>
                </c:pt>
                <c:pt idx="508">
                  <c:v>6898.7911814727613</c:v>
                </c:pt>
                <c:pt idx="509">
                  <c:v>8325.0141430281092</c:v>
                </c:pt>
                <c:pt idx="510">
                  <c:v>5895.3043527698665</c:v>
                </c:pt>
                <c:pt idx="511">
                  <c:v>5615.173498262473</c:v>
                </c:pt>
                <c:pt idx="512">
                  <c:v>7593.2163846600361</c:v>
                </c:pt>
                <c:pt idx="513">
                  <c:v>6643.2252973735067</c:v>
                </c:pt>
                <c:pt idx="514">
                  <c:v>7128.6877574387599</c:v>
                </c:pt>
                <c:pt idx="515">
                  <c:v>7211.7958299425063</c:v>
                </c:pt>
                <c:pt idx="516">
                  <c:v>4588.0993017568107</c:v>
                </c:pt>
                <c:pt idx="517">
                  <c:v>6931.8440396516635</c:v>
                </c:pt>
                <c:pt idx="518">
                  <c:v>5677.6849199664957</c:v>
                </c:pt>
                <c:pt idx="519">
                  <c:v>7293.8418824620649</c:v>
                </c:pt>
                <c:pt idx="520">
                  <c:v>5400.3132476923256</c:v>
                </c:pt>
                <c:pt idx="521">
                  <c:v>6962.6595437278684</c:v>
                </c:pt>
                <c:pt idx="522">
                  <c:v>8114.7559864134491</c:v>
                </c:pt>
                <c:pt idx="523">
                  <c:v>5589.9744183083531</c:v>
                </c:pt>
                <c:pt idx="524">
                  <c:v>6580.157976307888</c:v>
                </c:pt>
                <c:pt idx="525">
                  <c:v>6605.9410556343519</c:v>
                </c:pt>
                <c:pt idx="526">
                  <c:v>5999.0285395696174</c:v>
                </c:pt>
                <c:pt idx="527">
                  <c:v>6519.2925357537806</c:v>
                </c:pt>
                <c:pt idx="528">
                  <c:v>4988.7377332100659</c:v>
                </c:pt>
                <c:pt idx="529">
                  <c:v>6937.5795605051844</c:v>
                </c:pt>
                <c:pt idx="530">
                  <c:v>6827.1899370386263</c:v>
                </c:pt>
                <c:pt idx="531">
                  <c:v>7359.6140162345546</c:v>
                </c:pt>
                <c:pt idx="532">
                  <c:v>7352.5087987694606</c:v>
                </c:pt>
                <c:pt idx="533">
                  <c:v>7332.9198682604601</c:v>
                </c:pt>
                <c:pt idx="534">
                  <c:v>8621.5508874433635</c:v>
                </c:pt>
                <c:pt idx="535">
                  <c:v>7734.7239138038431</c:v>
                </c:pt>
                <c:pt idx="536">
                  <c:v>5498.9454227186088</c:v>
                </c:pt>
                <c:pt idx="537">
                  <c:v>7415.0607399320652</c:v>
                </c:pt>
                <c:pt idx="538">
                  <c:v>8922.5068027408543</c:v>
                </c:pt>
                <c:pt idx="539">
                  <c:v>7789.2466809822545</c:v>
                </c:pt>
                <c:pt idx="540">
                  <c:v>6928.635196447156</c:v>
                </c:pt>
                <c:pt idx="541">
                  <c:v>6886.7547001440053</c:v>
                </c:pt>
                <c:pt idx="542">
                  <c:v>7932.3340918807962</c:v>
                </c:pt>
                <c:pt idx="543">
                  <c:v>6494.8511133924403</c:v>
                </c:pt>
                <c:pt idx="544">
                  <c:v>4879.7240546296089</c:v>
                </c:pt>
                <c:pt idx="545">
                  <c:v>7856.5965355438548</c:v>
                </c:pt>
                <c:pt idx="546">
                  <c:v>7284.1539338438924</c:v>
                </c:pt>
                <c:pt idx="547">
                  <c:v>7579.7693561517835</c:v>
                </c:pt>
                <c:pt idx="548">
                  <c:v>7679.7614577149343</c:v>
                </c:pt>
                <c:pt idx="549">
                  <c:v>7782.3329276813074</c:v>
                </c:pt>
                <c:pt idx="550">
                  <c:v>5172.1756068883751</c:v>
                </c:pt>
                <c:pt idx="551">
                  <c:v>7420.7335273166755</c:v>
                </c:pt>
                <c:pt idx="552">
                  <c:v>4673.7051523897062</c:v>
                </c:pt>
                <c:pt idx="553">
                  <c:v>6275.4745675347895</c:v>
                </c:pt>
                <c:pt idx="554">
                  <c:v>7531.0791940540821</c:v>
                </c:pt>
                <c:pt idx="555">
                  <c:v>6816.4192005883833</c:v>
                </c:pt>
                <c:pt idx="556">
                  <c:v>7816.0659311454892</c:v>
                </c:pt>
                <c:pt idx="557">
                  <c:v>7114.1340769718936</c:v>
                </c:pt>
                <c:pt idx="558">
                  <c:v>7382.8013733084117</c:v>
                </c:pt>
                <c:pt idx="559">
                  <c:v>7968.550280275912</c:v>
                </c:pt>
                <c:pt idx="560">
                  <c:v>4656.0862826978282</c:v>
                </c:pt>
                <c:pt idx="561">
                  <c:v>6685.6741715347762</c:v>
                </c:pt>
                <c:pt idx="562">
                  <c:v>6206.8312440988266</c:v>
                </c:pt>
                <c:pt idx="563">
                  <c:v>8600.5021769808773</c:v>
                </c:pt>
                <c:pt idx="564">
                  <c:v>5316.044008458377</c:v>
                </c:pt>
                <c:pt idx="565">
                  <c:v>5800.4348880864254</c:v>
                </c:pt>
                <c:pt idx="566">
                  <c:v>6745.7694139301711</c:v>
                </c:pt>
                <c:pt idx="567">
                  <c:v>8395.9121456673111</c:v>
                </c:pt>
                <c:pt idx="568">
                  <c:v>8668.2494672316989</c:v>
                </c:pt>
                <c:pt idx="569">
                  <c:v>10232.507743658953</c:v>
                </c:pt>
                <c:pt idx="570">
                  <c:v>9582.9229121678018</c:v>
                </c:pt>
                <c:pt idx="571">
                  <c:v>6639.3830562660187</c:v>
                </c:pt>
                <c:pt idx="572">
                  <c:v>6030.580489646718</c:v>
                </c:pt>
                <c:pt idx="573">
                  <c:v>6203.6078679226721</c:v>
                </c:pt>
                <c:pt idx="574">
                  <c:v>8425.2642754888802</c:v>
                </c:pt>
                <c:pt idx="575">
                  <c:v>7602.5903701139032</c:v>
                </c:pt>
                <c:pt idx="576">
                  <c:v>5550.9277474183273</c:v>
                </c:pt>
                <c:pt idx="577">
                  <c:v>5826.8480338301006</c:v>
                </c:pt>
                <c:pt idx="578">
                  <c:v>7365.9831447973629</c:v>
                </c:pt>
                <c:pt idx="579">
                  <c:v>8287.2282007305748</c:v>
                </c:pt>
                <c:pt idx="580">
                  <c:v>6958.2295180469464</c:v>
                </c:pt>
                <c:pt idx="581">
                  <c:v>6225.8525039097221</c:v>
                </c:pt>
                <c:pt idx="582">
                  <c:v>7530.4292259999747</c:v>
                </c:pt>
                <c:pt idx="583">
                  <c:v>4695.3461937522316</c:v>
                </c:pt>
                <c:pt idx="584">
                  <c:v>6354.6311855579306</c:v>
                </c:pt>
                <c:pt idx="585">
                  <c:v>5478.7457500359851</c:v>
                </c:pt>
                <c:pt idx="586">
                  <c:v>6043.8515695901633</c:v>
                </c:pt>
                <c:pt idx="587">
                  <c:v>7308.2097744926541</c:v>
                </c:pt>
                <c:pt idx="588">
                  <c:v>6552.6537844878694</c:v>
                </c:pt>
                <c:pt idx="589">
                  <c:v>6333.2747793396884</c:v>
                </c:pt>
                <c:pt idx="590">
                  <c:v>5037.7419897961681</c:v>
                </c:pt>
                <c:pt idx="591">
                  <c:v>7487.6161413706232</c:v>
                </c:pt>
                <c:pt idx="592">
                  <c:v>8166.4210273578956</c:v>
                </c:pt>
                <c:pt idx="593">
                  <c:v>5421.8909434796005</c:v>
                </c:pt>
                <c:pt idx="594">
                  <c:v>7731.7640437049977</c:v>
                </c:pt>
                <c:pt idx="595">
                  <c:v>8494.690366288527</c:v>
                </c:pt>
                <c:pt idx="596">
                  <c:v>7541.7545661354125</c:v>
                </c:pt>
                <c:pt idx="597">
                  <c:v>7938.1237549435027</c:v>
                </c:pt>
                <c:pt idx="598">
                  <c:v>7715.7020666923108</c:v>
                </c:pt>
                <c:pt idx="599">
                  <c:v>6737.8064052968421</c:v>
                </c:pt>
                <c:pt idx="600">
                  <c:v>6415.9800099567583</c:v>
                </c:pt>
                <c:pt idx="601">
                  <c:v>5165.0906604627507</c:v>
                </c:pt>
                <c:pt idx="602">
                  <c:v>8939.4729177478894</c:v>
                </c:pt>
                <c:pt idx="603">
                  <c:v>7273.5432362226493</c:v>
                </c:pt>
                <c:pt idx="604">
                  <c:v>7468.8813851591931</c:v>
                </c:pt>
                <c:pt idx="605">
                  <c:v>8573.5435999024194</c:v>
                </c:pt>
                <c:pt idx="606">
                  <c:v>8542.1949367420093</c:v>
                </c:pt>
                <c:pt idx="607">
                  <c:v>6395.7505446612449</c:v>
                </c:pt>
                <c:pt idx="608">
                  <c:v>5718.6638884445056</c:v>
                </c:pt>
                <c:pt idx="609">
                  <c:v>6086.7637281174102</c:v>
                </c:pt>
                <c:pt idx="610">
                  <c:v>7218.6145483233959</c:v>
                </c:pt>
                <c:pt idx="611">
                  <c:v>7634.7043168768068</c:v>
                </c:pt>
                <c:pt idx="612">
                  <c:v>7041.232633039348</c:v>
                </c:pt>
                <c:pt idx="613">
                  <c:v>8345.6954637847539</c:v>
                </c:pt>
                <c:pt idx="614">
                  <c:v>5444.7465772325904</c:v>
                </c:pt>
                <c:pt idx="615">
                  <c:v>6841.4788798292439</c:v>
                </c:pt>
                <c:pt idx="616">
                  <c:v>7594.3955860262586</c:v>
                </c:pt>
                <c:pt idx="617">
                  <c:v>5967.2731382107431</c:v>
                </c:pt>
                <c:pt idx="618">
                  <c:v>6088.3408613580468</c:v>
                </c:pt>
                <c:pt idx="619">
                  <c:v>7357.1202765680982</c:v>
                </c:pt>
                <c:pt idx="620">
                  <c:v>6148.5970399725929</c:v>
                </c:pt>
                <c:pt idx="621">
                  <c:v>6295.5689407047048</c:v>
                </c:pt>
                <c:pt idx="622">
                  <c:v>7294.6973217084706</c:v>
                </c:pt>
                <c:pt idx="623">
                  <c:v>5981.32000656542</c:v>
                </c:pt>
                <c:pt idx="624">
                  <c:v>6038.4288815722211</c:v>
                </c:pt>
                <c:pt idx="625">
                  <c:v>6384.4767410809982</c:v>
                </c:pt>
                <c:pt idx="626">
                  <c:v>7916.5093915193884</c:v>
                </c:pt>
                <c:pt idx="627">
                  <c:v>6471.7266248738106</c:v>
                </c:pt>
                <c:pt idx="628">
                  <c:v>7006.2933730864333</c:v>
                </c:pt>
                <c:pt idx="629">
                  <c:v>6544.2068676564613</c:v>
                </c:pt>
                <c:pt idx="630">
                  <c:v>8205.3846096461293</c:v>
                </c:pt>
                <c:pt idx="631">
                  <c:v>8648.7094543334661</c:v>
                </c:pt>
                <c:pt idx="632">
                  <c:v>6109.1317791523597</c:v>
                </c:pt>
                <c:pt idx="633">
                  <c:v>5754.5658377769905</c:v>
                </c:pt>
                <c:pt idx="634">
                  <c:v>8821.3450758833933</c:v>
                </c:pt>
                <c:pt idx="635">
                  <c:v>6780.2407683977635</c:v>
                </c:pt>
                <c:pt idx="636">
                  <c:v>7518.7975538027658</c:v>
                </c:pt>
                <c:pt idx="637">
                  <c:v>8184.5202497437622</c:v>
                </c:pt>
                <c:pt idx="638">
                  <c:v>5066.462228317785</c:v>
                </c:pt>
                <c:pt idx="639">
                  <c:v>6172.6016240878389</c:v>
                </c:pt>
                <c:pt idx="640">
                  <c:v>6591.342484600269</c:v>
                </c:pt>
                <c:pt idx="641">
                  <c:v>5928.0543041297478</c:v>
                </c:pt>
                <c:pt idx="642">
                  <c:v>7443.2265248185267</c:v>
                </c:pt>
                <c:pt idx="643">
                  <c:v>6473.0528202951082</c:v>
                </c:pt>
                <c:pt idx="644">
                  <c:v>7459.5856522056174</c:v>
                </c:pt>
                <c:pt idx="645">
                  <c:v>6470.6791998317103</c:v>
                </c:pt>
                <c:pt idx="646">
                  <c:v>7395.1906950056291</c:v>
                </c:pt>
                <c:pt idx="647">
                  <c:v>8108.7498802505943</c:v>
                </c:pt>
                <c:pt idx="648">
                  <c:v>7541.0365183859949</c:v>
                </c:pt>
                <c:pt idx="649">
                  <c:v>6330.1663489635139</c:v>
                </c:pt>
                <c:pt idx="650">
                  <c:v>6398.7186065770329</c:v>
                </c:pt>
                <c:pt idx="651">
                  <c:v>5662.5432695193304</c:v>
                </c:pt>
                <c:pt idx="652">
                  <c:v>8517.1241677278049</c:v>
                </c:pt>
                <c:pt idx="653">
                  <c:v>7628.2707186479429</c:v>
                </c:pt>
                <c:pt idx="654">
                  <c:v>7243.4356592833574</c:v>
                </c:pt>
                <c:pt idx="655">
                  <c:v>5669.9720556196971</c:v>
                </c:pt>
                <c:pt idx="656">
                  <c:v>5393.5043605228366</c:v>
                </c:pt>
                <c:pt idx="657">
                  <c:v>5393.8756040125118</c:v>
                </c:pt>
                <c:pt idx="658">
                  <c:v>7165.9099466288189</c:v>
                </c:pt>
                <c:pt idx="659">
                  <c:v>8254.1480134314152</c:v>
                </c:pt>
                <c:pt idx="660">
                  <c:v>6091.3277565697426</c:v>
                </c:pt>
                <c:pt idx="661">
                  <c:v>9017.8814739999943</c:v>
                </c:pt>
                <c:pt idx="662">
                  <c:v>6423.2152882042883</c:v>
                </c:pt>
                <c:pt idx="663">
                  <c:v>6086.994958848687</c:v>
                </c:pt>
                <c:pt idx="664">
                  <c:v>6975.3559856391821</c:v>
                </c:pt>
                <c:pt idx="665">
                  <c:v>8731.2310432354316</c:v>
                </c:pt>
                <c:pt idx="666">
                  <c:v>4890.022122671493</c:v>
                </c:pt>
                <c:pt idx="667">
                  <c:v>7013.8608244742336</c:v>
                </c:pt>
                <c:pt idx="668">
                  <c:v>4927.1466128850152</c:v>
                </c:pt>
                <c:pt idx="669">
                  <c:v>8412.2244131973348</c:v>
                </c:pt>
                <c:pt idx="670">
                  <c:v>8618.0792904043992</c:v>
                </c:pt>
                <c:pt idx="671">
                  <c:v>6414.6990813321563</c:v>
                </c:pt>
                <c:pt idx="672">
                  <c:v>6645.7473284772022</c:v>
                </c:pt>
                <c:pt idx="673">
                  <c:v>6799.8425676033467</c:v>
                </c:pt>
                <c:pt idx="674">
                  <c:v>7498.0163826295156</c:v>
                </c:pt>
                <c:pt idx="675">
                  <c:v>6635.6488677239622</c:v>
                </c:pt>
                <c:pt idx="676">
                  <c:v>7040.3874475239154</c:v>
                </c:pt>
                <c:pt idx="677">
                  <c:v>6040.4245626058946</c:v>
                </c:pt>
                <c:pt idx="678">
                  <c:v>7244.2091663517931</c:v>
                </c:pt>
                <c:pt idx="679">
                  <c:v>6621.2991437215569</c:v>
                </c:pt>
                <c:pt idx="680">
                  <c:v>7749.9047786841575</c:v>
                </c:pt>
                <c:pt idx="681">
                  <c:v>6018.6875200957838</c:v>
                </c:pt>
                <c:pt idx="682">
                  <c:v>7707.5322736460166</c:v>
                </c:pt>
                <c:pt idx="683">
                  <c:v>5303.6980070298177</c:v>
                </c:pt>
                <c:pt idx="684">
                  <c:v>6477.2148311373585</c:v>
                </c:pt>
                <c:pt idx="685">
                  <c:v>6787.3598999813166</c:v>
                </c:pt>
                <c:pt idx="686">
                  <c:v>8016.8477012534659</c:v>
                </c:pt>
                <c:pt idx="687">
                  <c:v>9804.6263546324972</c:v>
                </c:pt>
                <c:pt idx="688">
                  <c:v>6942.1862853276034</c:v>
                </c:pt>
                <c:pt idx="689">
                  <c:v>7043.677862059405</c:v>
                </c:pt>
                <c:pt idx="690">
                  <c:v>6752.594763122007</c:v>
                </c:pt>
                <c:pt idx="691">
                  <c:v>8329.6859716744239</c:v>
                </c:pt>
                <c:pt idx="692">
                  <c:v>8258.7388539889907</c:v>
                </c:pt>
                <c:pt idx="693">
                  <c:v>7276.0145233636977</c:v>
                </c:pt>
                <c:pt idx="694">
                  <c:v>7398.4602076460815</c:v>
                </c:pt>
                <c:pt idx="695">
                  <c:v>7016.1481253228349</c:v>
                </c:pt>
                <c:pt idx="696">
                  <c:v>5964.6500895931313</c:v>
                </c:pt>
                <c:pt idx="697">
                  <c:v>6920.1957961854241</c:v>
                </c:pt>
                <c:pt idx="698">
                  <c:v>6247.3042200496975</c:v>
                </c:pt>
                <c:pt idx="699">
                  <c:v>6706.4660979025966</c:v>
                </c:pt>
                <c:pt idx="700">
                  <c:v>7318.5784767810492</c:v>
                </c:pt>
                <c:pt idx="701">
                  <c:v>6259.0159649007383</c:v>
                </c:pt>
                <c:pt idx="702">
                  <c:v>6178.0504187840615</c:v>
                </c:pt>
                <c:pt idx="703">
                  <c:v>7013.845143966515</c:v>
                </c:pt>
                <c:pt idx="704">
                  <c:v>6783.1211259353786</c:v>
                </c:pt>
                <c:pt idx="705">
                  <c:v>5846.926460820423</c:v>
                </c:pt>
                <c:pt idx="706">
                  <c:v>5312.1234990306966</c:v>
                </c:pt>
                <c:pt idx="707">
                  <c:v>6720.6009582951792</c:v>
                </c:pt>
                <c:pt idx="708">
                  <c:v>6164.8148203785368</c:v>
                </c:pt>
                <c:pt idx="709">
                  <c:v>5939.3961477083885</c:v>
                </c:pt>
                <c:pt idx="710">
                  <c:v>6865.0023292966653</c:v>
                </c:pt>
                <c:pt idx="711">
                  <c:v>6817.7811451527105</c:v>
                </c:pt>
                <c:pt idx="712">
                  <c:v>5610.8073590418371</c:v>
                </c:pt>
                <c:pt idx="713">
                  <c:v>7530.0162230159858</c:v>
                </c:pt>
                <c:pt idx="714">
                  <c:v>6292.0674394642356</c:v>
                </c:pt>
                <c:pt idx="715">
                  <c:v>8930.9152067569521</c:v>
                </c:pt>
                <c:pt idx="716">
                  <c:v>6657.6629047853394</c:v>
                </c:pt>
                <c:pt idx="717">
                  <c:v>5379.134023660421</c:v>
                </c:pt>
                <c:pt idx="718">
                  <c:v>6457.3643526498581</c:v>
                </c:pt>
                <c:pt idx="719">
                  <c:v>6831.5594310281831</c:v>
                </c:pt>
                <c:pt idx="720">
                  <c:v>5992.2553349621921</c:v>
                </c:pt>
                <c:pt idx="721">
                  <c:v>7859.9381188552252</c:v>
                </c:pt>
                <c:pt idx="722">
                  <c:v>6420.1725868069734</c:v>
                </c:pt>
                <c:pt idx="723">
                  <c:v>7794.3607258032498</c:v>
                </c:pt>
                <c:pt idx="724">
                  <c:v>9221.0251852579659</c:v>
                </c:pt>
                <c:pt idx="725">
                  <c:v>4713.0607062159452</c:v>
                </c:pt>
                <c:pt idx="726">
                  <c:v>7758.125286483988</c:v>
                </c:pt>
                <c:pt idx="727">
                  <c:v>7676.1644562410811</c:v>
                </c:pt>
                <c:pt idx="728">
                  <c:v>6677.6978212212216</c:v>
                </c:pt>
                <c:pt idx="729">
                  <c:v>6925.7129951267107</c:v>
                </c:pt>
                <c:pt idx="730">
                  <c:v>7605.9596016755386</c:v>
                </c:pt>
                <c:pt idx="731">
                  <c:v>7705.2791442701891</c:v>
                </c:pt>
                <c:pt idx="732">
                  <c:v>6839.1358164402554</c:v>
                </c:pt>
                <c:pt idx="733">
                  <c:v>8210.3798383972353</c:v>
                </c:pt>
                <c:pt idx="734">
                  <c:v>8069.7165090877916</c:v>
                </c:pt>
                <c:pt idx="735">
                  <c:v>4598.910533352042</c:v>
                </c:pt>
                <c:pt idx="736">
                  <c:v>6901.2218849899455</c:v>
                </c:pt>
                <c:pt idx="737">
                  <c:v>8107.8504313747744</c:v>
                </c:pt>
                <c:pt idx="738">
                  <c:v>8208.4374138855892</c:v>
                </c:pt>
                <c:pt idx="739">
                  <c:v>6888.1857644460561</c:v>
                </c:pt>
                <c:pt idx="740">
                  <c:v>6628.5520729493619</c:v>
                </c:pt>
                <c:pt idx="741">
                  <c:v>7924.9033690237866</c:v>
                </c:pt>
                <c:pt idx="742">
                  <c:v>5198.5363641186068</c:v>
                </c:pt>
                <c:pt idx="743">
                  <c:v>6646.9257603379483</c:v>
                </c:pt>
                <c:pt idx="744">
                  <c:v>3919.9949287068303</c:v>
                </c:pt>
                <c:pt idx="745">
                  <c:v>8128.1550367004265</c:v>
                </c:pt>
                <c:pt idx="746">
                  <c:v>7614.9132338169056</c:v>
                </c:pt>
                <c:pt idx="747">
                  <c:v>5347.1305732465153</c:v>
                </c:pt>
                <c:pt idx="748">
                  <c:v>7243.8025788304913</c:v>
                </c:pt>
                <c:pt idx="749">
                  <c:v>5655.9734833541406</c:v>
                </c:pt>
                <c:pt idx="750">
                  <c:v>7816.8463696891758</c:v>
                </c:pt>
                <c:pt idx="751">
                  <c:v>7260.5227097212874</c:v>
                </c:pt>
                <c:pt idx="752">
                  <c:v>8656.1646360580889</c:v>
                </c:pt>
                <c:pt idx="753">
                  <c:v>7770.8612294314635</c:v>
                </c:pt>
                <c:pt idx="754">
                  <c:v>6663.9520566010942</c:v>
                </c:pt>
                <c:pt idx="755">
                  <c:v>7939.1154259120467</c:v>
                </c:pt>
                <c:pt idx="756">
                  <c:v>6716.586102200994</c:v>
                </c:pt>
                <c:pt idx="757">
                  <c:v>6124.3527732602997</c:v>
                </c:pt>
                <c:pt idx="758">
                  <c:v>8125.0210768072375</c:v>
                </c:pt>
                <c:pt idx="759">
                  <c:v>6791.8170886705029</c:v>
                </c:pt>
                <c:pt idx="760">
                  <c:v>6976.3187402973326</c:v>
                </c:pt>
                <c:pt idx="761">
                  <c:v>5934.585089715034</c:v>
                </c:pt>
                <c:pt idx="762">
                  <c:v>8115.2935402836993</c:v>
                </c:pt>
                <c:pt idx="763">
                  <c:v>6972.0816146193574</c:v>
                </c:pt>
                <c:pt idx="764">
                  <c:v>6535.2467337644139</c:v>
                </c:pt>
                <c:pt idx="765">
                  <c:v>5223.6861728358626</c:v>
                </c:pt>
                <c:pt idx="766">
                  <c:v>6006.4725333004162</c:v>
                </c:pt>
                <c:pt idx="767">
                  <c:v>6508.1972313859987</c:v>
                </c:pt>
                <c:pt idx="768">
                  <c:v>6397.069948440635</c:v>
                </c:pt>
                <c:pt idx="769">
                  <c:v>6314.1583067212014</c:v>
                </c:pt>
                <c:pt idx="770">
                  <c:v>6841.1848530769994</c:v>
                </c:pt>
                <c:pt idx="771">
                  <c:v>6727.2821273024419</c:v>
                </c:pt>
                <c:pt idx="772">
                  <c:v>6618.9363258981211</c:v>
                </c:pt>
                <c:pt idx="773">
                  <c:v>9130.420666476004</c:v>
                </c:pt>
                <c:pt idx="774">
                  <c:v>7141.6437177111547</c:v>
                </c:pt>
                <c:pt idx="775">
                  <c:v>5776.5587174718057</c:v>
                </c:pt>
                <c:pt idx="776">
                  <c:v>9368.4927922237566</c:v>
                </c:pt>
                <c:pt idx="777">
                  <c:v>8077.9180733486646</c:v>
                </c:pt>
                <c:pt idx="778">
                  <c:v>5512.2271090193772</c:v>
                </c:pt>
                <c:pt idx="779">
                  <c:v>7315.3135557527403</c:v>
                </c:pt>
                <c:pt idx="780">
                  <c:v>5821.4325872031459</c:v>
                </c:pt>
                <c:pt idx="781">
                  <c:v>7269.2890492616116</c:v>
                </c:pt>
                <c:pt idx="782">
                  <c:v>7612.7493039815363</c:v>
                </c:pt>
                <c:pt idx="783">
                  <c:v>4313.160104871793</c:v>
                </c:pt>
                <c:pt idx="784">
                  <c:v>7396.9118694101362</c:v>
                </c:pt>
                <c:pt idx="785">
                  <c:v>5948.5272250274375</c:v>
                </c:pt>
                <c:pt idx="786">
                  <c:v>8106.389476105478</c:v>
                </c:pt>
                <c:pt idx="787">
                  <c:v>6337.3633188399308</c:v>
                </c:pt>
                <c:pt idx="788">
                  <c:v>6275.8813821083986</c:v>
                </c:pt>
                <c:pt idx="789">
                  <c:v>7383.0165575502215</c:v>
                </c:pt>
                <c:pt idx="790">
                  <c:v>7419.3659846207975</c:v>
                </c:pt>
                <c:pt idx="791">
                  <c:v>6634.2840934538872</c:v>
                </c:pt>
                <c:pt idx="792">
                  <c:v>7136.2271453389012</c:v>
                </c:pt>
                <c:pt idx="793">
                  <c:v>6478.6024974508873</c:v>
                </c:pt>
                <c:pt idx="794">
                  <c:v>8459.7029901199494</c:v>
                </c:pt>
                <c:pt idx="795">
                  <c:v>8068.513816377028</c:v>
                </c:pt>
                <c:pt idx="796">
                  <c:v>7399.22494501033</c:v>
                </c:pt>
                <c:pt idx="797">
                  <c:v>7267.3662965506464</c:v>
                </c:pt>
                <c:pt idx="798">
                  <c:v>5680.3256958896982</c:v>
                </c:pt>
                <c:pt idx="799">
                  <c:v>6801.4085074803552</c:v>
                </c:pt>
                <c:pt idx="800">
                  <c:v>6363.2599066185412</c:v>
                </c:pt>
                <c:pt idx="801">
                  <c:v>4990.6756203542027</c:v>
                </c:pt>
                <c:pt idx="802">
                  <c:v>8078.3733266382478</c:v>
                </c:pt>
                <c:pt idx="803">
                  <c:v>7348.341224333738</c:v>
                </c:pt>
                <c:pt idx="804">
                  <c:v>5806.8976246345828</c:v>
                </c:pt>
                <c:pt idx="805">
                  <c:v>7191.0964617805193</c:v>
                </c:pt>
                <c:pt idx="806">
                  <c:v>7093.9478665440083</c:v>
                </c:pt>
                <c:pt idx="807">
                  <c:v>6274.2075174246202</c:v>
                </c:pt>
                <c:pt idx="808">
                  <c:v>7545.6461321711595</c:v>
                </c:pt>
                <c:pt idx="809">
                  <c:v>6400.9955354627473</c:v>
                </c:pt>
                <c:pt idx="810">
                  <c:v>7258.5516690532295</c:v>
                </c:pt>
                <c:pt idx="811">
                  <c:v>7531.2297605347103</c:v>
                </c:pt>
                <c:pt idx="812">
                  <c:v>6546.8926344707143</c:v>
                </c:pt>
                <c:pt idx="813">
                  <c:v>7302.6257755256029</c:v>
                </c:pt>
                <c:pt idx="814">
                  <c:v>7779.0906934002323</c:v>
                </c:pt>
                <c:pt idx="815">
                  <c:v>6541.5903182286766</c:v>
                </c:pt>
                <c:pt idx="816">
                  <c:v>7250.8354905196311</c:v>
                </c:pt>
                <c:pt idx="817">
                  <c:v>6544.6587404609545</c:v>
                </c:pt>
                <c:pt idx="818">
                  <c:v>6325.7389020211267</c:v>
                </c:pt>
                <c:pt idx="819">
                  <c:v>6261.6665368962185</c:v>
                </c:pt>
                <c:pt idx="820">
                  <c:v>6493.6615346631443</c:v>
                </c:pt>
                <c:pt idx="821">
                  <c:v>6576.5778848491682</c:v>
                </c:pt>
                <c:pt idx="822">
                  <c:v>5249.7836203846909</c:v>
                </c:pt>
                <c:pt idx="823">
                  <c:v>5743.4188075280908</c:v>
                </c:pt>
                <c:pt idx="824">
                  <c:v>6187.8314396489313</c:v>
                </c:pt>
                <c:pt idx="825">
                  <c:v>8416.2349989029153</c:v>
                </c:pt>
                <c:pt idx="826">
                  <c:v>5046.2436956202837</c:v>
                </c:pt>
                <c:pt idx="827">
                  <c:v>7834.3490689747596</c:v>
                </c:pt>
                <c:pt idx="828">
                  <c:v>7287.2654010528076</c:v>
                </c:pt>
                <c:pt idx="829">
                  <c:v>6919.952793456554</c:v>
                </c:pt>
                <c:pt idx="830">
                  <c:v>6536.8977482765986</c:v>
                </c:pt>
                <c:pt idx="831">
                  <c:v>7659.2224948704479</c:v>
                </c:pt>
                <c:pt idx="832">
                  <c:v>7131.9899149411067</c:v>
                </c:pt>
                <c:pt idx="833">
                  <c:v>5627.9680633031712</c:v>
                </c:pt>
                <c:pt idx="834">
                  <c:v>7333.4420617454844</c:v>
                </c:pt>
                <c:pt idx="835">
                  <c:v>6018.7156187737473</c:v>
                </c:pt>
                <c:pt idx="836">
                  <c:v>5867.9665477295202</c:v>
                </c:pt>
                <c:pt idx="837">
                  <c:v>6057.837817744492</c:v>
                </c:pt>
                <c:pt idx="838">
                  <c:v>7428.4067792116439</c:v>
                </c:pt>
                <c:pt idx="839">
                  <c:v>7865.0348151988401</c:v>
                </c:pt>
                <c:pt idx="840">
                  <c:v>7533.9138390900516</c:v>
                </c:pt>
                <c:pt idx="841">
                  <c:v>6430.0627451380278</c:v>
                </c:pt>
                <c:pt idx="842">
                  <c:v>7670.748785123471</c:v>
                </c:pt>
                <c:pt idx="843">
                  <c:v>6927.9634366328464</c:v>
                </c:pt>
                <c:pt idx="844">
                  <c:v>8209.6597731578622</c:v>
                </c:pt>
                <c:pt idx="845">
                  <c:v>4552.9310669627139</c:v>
                </c:pt>
                <c:pt idx="846">
                  <c:v>5539.9904209476972</c:v>
                </c:pt>
                <c:pt idx="847">
                  <c:v>6362.7119031773145</c:v>
                </c:pt>
                <c:pt idx="848">
                  <c:v>5324.7938371868513</c:v>
                </c:pt>
                <c:pt idx="849">
                  <c:v>7337.5053791317296</c:v>
                </c:pt>
                <c:pt idx="850">
                  <c:v>7589.9940406341366</c:v>
                </c:pt>
                <c:pt idx="851">
                  <c:v>8650.5820177640944</c:v>
                </c:pt>
                <c:pt idx="852">
                  <c:v>4927.7856558830081</c:v>
                </c:pt>
                <c:pt idx="853">
                  <c:v>6141.8174196861401</c:v>
                </c:pt>
                <c:pt idx="854">
                  <c:v>6578.9809747778454</c:v>
                </c:pt>
                <c:pt idx="855">
                  <c:v>6986.3531507240241</c:v>
                </c:pt>
                <c:pt idx="856">
                  <c:v>6163.0195975743882</c:v>
                </c:pt>
                <c:pt idx="857">
                  <c:v>6591.467602851244</c:v>
                </c:pt>
                <c:pt idx="858">
                  <c:v>7556.8118901175276</c:v>
                </c:pt>
                <c:pt idx="859">
                  <c:v>8563.7774972993266</c:v>
                </c:pt>
                <c:pt idx="860">
                  <c:v>8415.8565262874581</c:v>
                </c:pt>
                <c:pt idx="861">
                  <c:v>7226.857461558373</c:v>
                </c:pt>
                <c:pt idx="862">
                  <c:v>6525.9654768650053</c:v>
                </c:pt>
                <c:pt idx="863">
                  <c:v>7330.8609961742177</c:v>
                </c:pt>
                <c:pt idx="864">
                  <c:v>7191.960309672495</c:v>
                </c:pt>
                <c:pt idx="865">
                  <c:v>5074.6137392571109</c:v>
                </c:pt>
                <c:pt idx="866">
                  <c:v>4071.2646601404085</c:v>
                </c:pt>
                <c:pt idx="867">
                  <c:v>7009.6287747576744</c:v>
                </c:pt>
                <c:pt idx="868">
                  <c:v>7166.9610495256111</c:v>
                </c:pt>
                <c:pt idx="869">
                  <c:v>7386.6251232397881</c:v>
                </c:pt>
                <c:pt idx="870">
                  <c:v>5932.7391147000526</c:v>
                </c:pt>
                <c:pt idx="871">
                  <c:v>6367.9463857278133</c:v>
                </c:pt>
                <c:pt idx="872">
                  <c:v>5901.7663878388794</c:v>
                </c:pt>
                <c:pt idx="873">
                  <c:v>5914.8313774482012</c:v>
                </c:pt>
                <c:pt idx="874">
                  <c:v>6140.8474277409368</c:v>
                </c:pt>
                <c:pt idx="875">
                  <c:v>9057.3368158463636</c:v>
                </c:pt>
                <c:pt idx="876">
                  <c:v>7926.5861476975433</c:v>
                </c:pt>
                <c:pt idx="877">
                  <c:v>7286.9532482598006</c:v>
                </c:pt>
                <c:pt idx="878">
                  <c:v>7856.6167958997839</c:v>
                </c:pt>
                <c:pt idx="879">
                  <c:v>6431.6837336134031</c:v>
                </c:pt>
                <c:pt idx="880">
                  <c:v>5973.7834129876392</c:v>
                </c:pt>
                <c:pt idx="881">
                  <c:v>6512.1270452956705</c:v>
                </c:pt>
                <c:pt idx="882">
                  <c:v>7317.8996204055566</c:v>
                </c:pt>
                <c:pt idx="883">
                  <c:v>5021.3044780097771</c:v>
                </c:pt>
                <c:pt idx="884">
                  <c:v>8352.2211058308167</c:v>
                </c:pt>
                <c:pt idx="885">
                  <c:v>6304.998478210131</c:v>
                </c:pt>
                <c:pt idx="886">
                  <c:v>6496.7985076166124</c:v>
                </c:pt>
                <c:pt idx="887">
                  <c:v>7036.2986962410741</c:v>
                </c:pt>
                <c:pt idx="888">
                  <c:v>4279.2068124782618</c:v>
                </c:pt>
                <c:pt idx="889">
                  <c:v>6706.8649264057804</c:v>
                </c:pt>
                <c:pt idx="890">
                  <c:v>7130.8605169217471</c:v>
                </c:pt>
                <c:pt idx="891">
                  <c:v>7311.4515237968862</c:v>
                </c:pt>
                <c:pt idx="892">
                  <c:v>8186.2475994820743</c:v>
                </c:pt>
                <c:pt idx="893">
                  <c:v>8044.6391957115684</c:v>
                </c:pt>
                <c:pt idx="894">
                  <c:v>7164.2631785273952</c:v>
                </c:pt>
                <c:pt idx="895">
                  <c:v>5366.9228454180757</c:v>
                </c:pt>
                <c:pt idx="896">
                  <c:v>6023.0061734755254</c:v>
                </c:pt>
                <c:pt idx="897">
                  <c:v>8040.9474960219823</c:v>
                </c:pt>
                <c:pt idx="898">
                  <c:v>7253.0888631371254</c:v>
                </c:pt>
                <c:pt idx="899">
                  <c:v>7677.7552614447259</c:v>
                </c:pt>
                <c:pt idx="900">
                  <c:v>8924.1387902207116</c:v>
                </c:pt>
                <c:pt idx="901">
                  <c:v>4566.9227999857394</c:v>
                </c:pt>
                <c:pt idx="902">
                  <c:v>7720.0892057828278</c:v>
                </c:pt>
                <c:pt idx="903">
                  <c:v>7988.2286651061968</c:v>
                </c:pt>
                <c:pt idx="904">
                  <c:v>7724.6042389401264</c:v>
                </c:pt>
                <c:pt idx="905">
                  <c:v>7460.1203789451192</c:v>
                </c:pt>
                <c:pt idx="906">
                  <c:v>7280.0736318047093</c:v>
                </c:pt>
                <c:pt idx="907">
                  <c:v>6913.9371129249066</c:v>
                </c:pt>
                <c:pt idx="908">
                  <c:v>6720.5376567616786</c:v>
                </c:pt>
                <c:pt idx="909">
                  <c:v>7876.4672666428087</c:v>
                </c:pt>
                <c:pt idx="910">
                  <c:v>8460.6710608450321</c:v>
                </c:pt>
                <c:pt idx="911">
                  <c:v>6102.7134350198221</c:v>
                </c:pt>
                <c:pt idx="912">
                  <c:v>7278.372503702456</c:v>
                </c:pt>
                <c:pt idx="913">
                  <c:v>6583.415404542774</c:v>
                </c:pt>
                <c:pt idx="914">
                  <c:v>5945.7143391212576</c:v>
                </c:pt>
                <c:pt idx="915">
                  <c:v>7588.8721312394027</c:v>
                </c:pt>
                <c:pt idx="916">
                  <c:v>6518.2212929480938</c:v>
                </c:pt>
                <c:pt idx="917">
                  <c:v>9464.5624012834905</c:v>
                </c:pt>
                <c:pt idx="918">
                  <c:v>6910.6052815999628</c:v>
                </c:pt>
                <c:pt idx="919">
                  <c:v>7442.7925874055582</c:v>
                </c:pt>
                <c:pt idx="920">
                  <c:v>7680.6688208012692</c:v>
                </c:pt>
                <c:pt idx="921">
                  <c:v>6096.8740786605358</c:v>
                </c:pt>
                <c:pt idx="922">
                  <c:v>6343.4363728671142</c:v>
                </c:pt>
                <c:pt idx="923">
                  <c:v>6989.1531669545075</c:v>
                </c:pt>
                <c:pt idx="924">
                  <c:v>7134.4931856747262</c:v>
                </c:pt>
                <c:pt idx="925">
                  <c:v>6775.4369297098001</c:v>
                </c:pt>
                <c:pt idx="926">
                  <c:v>8198.4213984099497</c:v>
                </c:pt>
                <c:pt idx="927">
                  <c:v>7785.6400495377238</c:v>
                </c:pt>
                <c:pt idx="928">
                  <c:v>6857.6003321905464</c:v>
                </c:pt>
                <c:pt idx="929">
                  <c:v>7106.5694267158979</c:v>
                </c:pt>
                <c:pt idx="930">
                  <c:v>6715.3749923551231</c:v>
                </c:pt>
                <c:pt idx="931">
                  <c:v>7055.3896269106663</c:v>
                </c:pt>
                <c:pt idx="932">
                  <c:v>7507.1680161376917</c:v>
                </c:pt>
                <c:pt idx="933">
                  <c:v>5022.934313462647</c:v>
                </c:pt>
                <c:pt idx="934">
                  <c:v>5096.4914560700963</c:v>
                </c:pt>
                <c:pt idx="935">
                  <c:v>6328.2516577164151</c:v>
                </c:pt>
                <c:pt idx="936">
                  <c:v>7134.9216829858524</c:v>
                </c:pt>
                <c:pt idx="937">
                  <c:v>5236.7300840908101</c:v>
                </c:pt>
                <c:pt idx="938">
                  <c:v>7268.4711280487973</c:v>
                </c:pt>
                <c:pt idx="939">
                  <c:v>5868.3125535633681</c:v>
                </c:pt>
                <c:pt idx="940">
                  <c:v>7314.3785030064937</c:v>
                </c:pt>
                <c:pt idx="941">
                  <c:v>6090.5296608701392</c:v>
                </c:pt>
                <c:pt idx="942">
                  <c:v>6871.1649581336123</c:v>
                </c:pt>
                <c:pt idx="943">
                  <c:v>5548.7981725311056</c:v>
                </c:pt>
                <c:pt idx="944">
                  <c:v>7002.4637791692512</c:v>
                </c:pt>
                <c:pt idx="945">
                  <c:v>7875.6800526584439</c:v>
                </c:pt>
                <c:pt idx="946">
                  <c:v>7550.4547305268597</c:v>
                </c:pt>
                <c:pt idx="947">
                  <c:v>7792.2605660041281</c:v>
                </c:pt>
                <c:pt idx="948">
                  <c:v>5719.4278567364818</c:v>
                </c:pt>
                <c:pt idx="949">
                  <c:v>8207.719992790604</c:v>
                </c:pt>
                <c:pt idx="950">
                  <c:v>7150.287827043072</c:v>
                </c:pt>
                <c:pt idx="951">
                  <c:v>6651.6932383515887</c:v>
                </c:pt>
                <c:pt idx="952">
                  <c:v>6237.5790472938297</c:v>
                </c:pt>
                <c:pt idx="953">
                  <c:v>6602.4241746810585</c:v>
                </c:pt>
                <c:pt idx="954">
                  <c:v>8669.6088779697511</c:v>
                </c:pt>
                <c:pt idx="955">
                  <c:v>6467.6768654551361</c:v>
                </c:pt>
                <c:pt idx="956">
                  <c:v>8289.076687400624</c:v>
                </c:pt>
                <c:pt idx="957">
                  <c:v>8814.1675523540835</c:v>
                </c:pt>
                <c:pt idx="958">
                  <c:v>9142.7583842527929</c:v>
                </c:pt>
                <c:pt idx="959">
                  <c:v>6824.7677245202922</c:v>
                </c:pt>
                <c:pt idx="960">
                  <c:v>7632.401073115554</c:v>
                </c:pt>
                <c:pt idx="961">
                  <c:v>7211.8068240196935</c:v>
                </c:pt>
                <c:pt idx="962">
                  <c:v>7804.7647775066653</c:v>
                </c:pt>
                <c:pt idx="963">
                  <c:v>7284.5388494545987</c:v>
                </c:pt>
                <c:pt idx="964">
                  <c:v>5481.9109941125716</c:v>
                </c:pt>
                <c:pt idx="965">
                  <c:v>5630.747363524506</c:v>
                </c:pt>
                <c:pt idx="966">
                  <c:v>5607.9134223991769</c:v>
                </c:pt>
                <c:pt idx="967">
                  <c:v>7145.9030670336124</c:v>
                </c:pt>
                <c:pt idx="968">
                  <c:v>5709.1161782998679</c:v>
                </c:pt>
                <c:pt idx="969">
                  <c:v>6370.4219257695113</c:v>
                </c:pt>
                <c:pt idx="970">
                  <c:v>6202.2175908277222</c:v>
                </c:pt>
                <c:pt idx="971">
                  <c:v>9022.1865183793452</c:v>
                </c:pt>
                <c:pt idx="972">
                  <c:v>8523.4687550585841</c:v>
                </c:pt>
                <c:pt idx="973">
                  <c:v>6166.6293807939746</c:v>
                </c:pt>
                <c:pt idx="974">
                  <c:v>7800.1975995469838</c:v>
                </c:pt>
                <c:pt idx="975">
                  <c:v>7858.7769566487405</c:v>
                </c:pt>
                <c:pt idx="976">
                  <c:v>5440.3203735058432</c:v>
                </c:pt>
                <c:pt idx="977">
                  <c:v>6706.2841483444809</c:v>
                </c:pt>
                <c:pt idx="978">
                  <c:v>6526.7530761687576</c:v>
                </c:pt>
                <c:pt idx="979">
                  <c:v>5271.8788106320808</c:v>
                </c:pt>
                <c:pt idx="980">
                  <c:v>5417.6027733877181</c:v>
                </c:pt>
                <c:pt idx="981">
                  <c:v>8638.4798743653773</c:v>
                </c:pt>
                <c:pt idx="982">
                  <c:v>6880.8453257601359</c:v>
                </c:pt>
                <c:pt idx="983">
                  <c:v>6834.9493925197876</c:v>
                </c:pt>
                <c:pt idx="984">
                  <c:v>6943.8415562636765</c:v>
                </c:pt>
                <c:pt idx="985">
                  <c:v>6198.9409226382304</c:v>
                </c:pt>
                <c:pt idx="986">
                  <c:v>6541.1809121255101</c:v>
                </c:pt>
                <c:pt idx="987">
                  <c:v>7462.2259897314743</c:v>
                </c:pt>
                <c:pt idx="988">
                  <c:v>8775.0941477976121</c:v>
                </c:pt>
                <c:pt idx="989">
                  <c:v>6405.6272087173274</c:v>
                </c:pt>
                <c:pt idx="990">
                  <c:v>8072.9307995719773</c:v>
                </c:pt>
                <c:pt idx="991">
                  <c:v>6344.6989488680474</c:v>
                </c:pt>
                <c:pt idx="992">
                  <c:v>6486.7066786181495</c:v>
                </c:pt>
                <c:pt idx="993">
                  <c:v>5011.2130205067424</c:v>
                </c:pt>
                <c:pt idx="994">
                  <c:v>7663.2640707861538</c:v>
                </c:pt>
                <c:pt idx="995">
                  <c:v>8652.5586532831476</c:v>
                </c:pt>
                <c:pt idx="996">
                  <c:v>7112.7047075872924</c:v>
                </c:pt>
                <c:pt idx="997">
                  <c:v>7288.6550010227056</c:v>
                </c:pt>
                <c:pt idx="998">
                  <c:v>4637.8317527439649</c:v>
                </c:pt>
                <c:pt idx="999">
                  <c:v>5418.7892446581554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C-4EA2-B823-962071BB568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0.85014127033197318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6859.4345743525728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9C-4EA2-B823-962071BB5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784528"/>
        <c:axId val="770763312"/>
      </c:scatterChart>
      <c:valAx>
        <c:axId val="77078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63312"/>
        <c:crosses val="autoZero"/>
        <c:crossBetween val="midCat"/>
      </c:valAx>
      <c:valAx>
        <c:axId val="7707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8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9-4671-B045-758B50699D84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Model'!$V$5:$V$50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9-4671-B045-758B50699D84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Model'!$W$5:$W$50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9-4671-B045-758B50699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4-4957-9CAB-F0A6686EFD80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E4-4957-9CAB-F0A6686EFD80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E4-4957-9CAB-F0A6686EF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35</xdr:row>
      <xdr:rowOff>95250</xdr:rowOff>
    </xdr:from>
    <xdr:to>
      <xdr:col>17</xdr:col>
      <xdr:colOff>190499</xdr:colOff>
      <xdr:row>53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01AD1F-BB44-4578-AFCF-75C1E0EA9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B13" sqref="B13"/>
    </sheetView>
  </sheetViews>
  <sheetFormatPr defaultRowHeight="12.75" x14ac:dyDescent="0.2"/>
  <sheetData>
    <row r="2" spans="2:5" ht="15.75" x14ac:dyDescent="0.25">
      <c r="E2" s="37" t="s">
        <v>133</v>
      </c>
    </row>
    <row r="3" spans="2:5" ht="15.75" x14ac:dyDescent="0.25">
      <c r="E3" s="37" t="s">
        <v>108</v>
      </c>
    </row>
    <row r="4" spans="2:5" ht="15.75" x14ac:dyDescent="0.25">
      <c r="E4" s="37" t="s">
        <v>109</v>
      </c>
    </row>
    <row r="5" spans="2:5" x14ac:dyDescent="0.2">
      <c r="E5" s="38"/>
    </row>
    <row r="6" spans="2:5" ht="15" x14ac:dyDescent="0.2">
      <c r="E6" s="39" t="s">
        <v>110</v>
      </c>
    </row>
    <row r="8" spans="2:5" x14ac:dyDescent="0.2">
      <c r="E8" s="40" t="s">
        <v>111</v>
      </c>
    </row>
    <row r="9" spans="2:5" x14ac:dyDescent="0.2">
      <c r="E9" s="40" t="s">
        <v>112</v>
      </c>
    </row>
    <row r="12" spans="2:5" x14ac:dyDescent="0.2">
      <c r="B12" t="s">
        <v>117</v>
      </c>
    </row>
    <row r="13" spans="2:5" x14ac:dyDescent="0.2">
      <c r="B13" t="s">
        <v>118</v>
      </c>
    </row>
    <row r="15" spans="2:5" x14ac:dyDescent="0.2">
      <c r="B15" t="s">
        <v>113</v>
      </c>
    </row>
    <row r="16" spans="2:5" x14ac:dyDescent="0.2">
      <c r="B16" s="41" t="s">
        <v>114</v>
      </c>
    </row>
    <row r="18" spans="2:5" x14ac:dyDescent="0.2">
      <c r="B18" t="s">
        <v>115</v>
      </c>
    </row>
    <row r="19" spans="2:5" x14ac:dyDescent="0.2">
      <c r="B19" s="41" t="s">
        <v>116</v>
      </c>
    </row>
    <row r="21" spans="2:5" x14ac:dyDescent="0.2">
      <c r="B21" t="s">
        <v>119</v>
      </c>
    </row>
    <row r="23" spans="2:5" x14ac:dyDescent="0.2">
      <c r="B23" t="s">
        <v>120</v>
      </c>
    </row>
    <row r="24" spans="2:5" x14ac:dyDescent="0.2">
      <c r="B24" t="s">
        <v>132</v>
      </c>
    </row>
    <row r="26" spans="2:5" x14ac:dyDescent="0.2">
      <c r="E26" s="42" t="s">
        <v>121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tabSelected="1" zoomScaleNormal="100" workbookViewId="0">
      <selection activeCell="I5" sqref="I5"/>
    </sheetView>
  </sheetViews>
  <sheetFormatPr defaultRowHeight="12.75" x14ac:dyDescent="0.2"/>
  <cols>
    <col min="7" max="7" width="10.42578125" bestFit="1" customWidth="1"/>
    <col min="9" max="9" width="16.140625" customWidth="1"/>
    <col min="12" max="12" width="12.28515625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2" t="s">
        <v>3</v>
      </c>
      <c r="K1" s="9"/>
      <c r="L1"/>
    </row>
    <row r="2" spans="1:15" x14ac:dyDescent="0.2">
      <c r="I2" s="41" t="s">
        <v>131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134</v>
      </c>
      <c r="J4" s="1" t="s">
        <v>59</v>
      </c>
      <c r="K4" s="1" t="s">
        <v>60</v>
      </c>
      <c r="L4" s="1" t="s">
        <v>57</v>
      </c>
      <c r="M4" s="27" t="s">
        <v>122</v>
      </c>
      <c r="N4" s="27" t="s">
        <v>123</v>
      </c>
      <c r="O4" s="27" t="s">
        <v>124</v>
      </c>
    </row>
    <row r="5" spans="1:15" x14ac:dyDescent="0.2">
      <c r="A5" t="s">
        <v>4</v>
      </c>
      <c r="B5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590.25032961205193</v>
      </c>
      <c r="M5" s="8">
        <f>(K5-J5)/(2*NORMINV(0.975,0,1))</f>
        <v>127.55336423116351</v>
      </c>
    </row>
    <row r="6" spans="1:15" x14ac:dyDescent="0.2">
      <c r="A6" t="s">
        <v>6</v>
      </c>
      <c r="B6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1046.1979400315777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956.17140119944509</v>
      </c>
      <c r="M7" s="8">
        <f t="shared" si="0"/>
        <v>102.04269138493082</v>
      </c>
    </row>
    <row r="8" spans="1:15" x14ac:dyDescent="0.2">
      <c r="A8" t="s">
        <v>107</v>
      </c>
      <c r="B8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0.13207732652431162</v>
      </c>
      <c r="M8" s="31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3402.3090454381481</v>
      </c>
      <c r="M9" s="8">
        <f t="shared" si="0"/>
        <v>510.21345692465405</v>
      </c>
      <c r="N9" s="6"/>
      <c r="O9" s="6"/>
    </row>
    <row r="10" spans="1:15" x14ac:dyDescent="0.2">
      <c r="A10" t="s">
        <v>99</v>
      </c>
      <c r="B10" s="3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0.42489047715381162</v>
      </c>
      <c r="M10" s="31">
        <f t="shared" si="0"/>
        <v>5.1021345692465393E-2</v>
      </c>
      <c r="N10" s="6"/>
      <c r="O10" s="6"/>
    </row>
    <row r="11" spans="1:15" x14ac:dyDescent="0.2">
      <c r="A11" t="s">
        <v>100</v>
      </c>
      <c r="B11" s="10">
        <v>0.01</v>
      </c>
      <c r="C11" s="41" t="s">
        <v>58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8.1880839144253138E-3</v>
      </c>
      <c r="M11" s="31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8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0.94015760762872491</v>
      </c>
      <c r="M12" s="31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0.76264925688722807</v>
      </c>
      <c r="M13" s="31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C14" s="41"/>
    </row>
    <row r="15" spans="1:15" ht="15.75" x14ac:dyDescent="0.25">
      <c r="A15" t="s">
        <v>16</v>
      </c>
      <c r="B15">
        <v>1</v>
      </c>
      <c r="C15" s="41" t="s">
        <v>17</v>
      </c>
      <c r="I15" s="2"/>
      <c r="J15" s="2"/>
      <c r="L15" s="3"/>
    </row>
    <row r="16" spans="1:15" x14ac:dyDescent="0.2">
      <c r="A16" t="s">
        <v>20</v>
      </c>
      <c r="B16">
        <v>55</v>
      </c>
      <c r="C16" s="41" t="s">
        <v>28</v>
      </c>
    </row>
    <row r="17" spans="1:14" x14ac:dyDescent="0.2">
      <c r="A17" t="s">
        <v>8</v>
      </c>
      <c r="B17" s="3">
        <v>0.06</v>
      </c>
      <c r="C17" s="41" t="s">
        <v>9</v>
      </c>
      <c r="I17" s="1"/>
      <c r="J17" s="1"/>
    </row>
    <row r="18" spans="1:14" x14ac:dyDescent="0.2">
      <c r="A18" t="s">
        <v>21</v>
      </c>
      <c r="B18" s="3">
        <v>0.06</v>
      </c>
      <c r="C18" s="41" t="s">
        <v>22</v>
      </c>
    </row>
    <row r="19" spans="1:14" x14ac:dyDescent="0.2">
      <c r="A19" t="s">
        <v>38</v>
      </c>
      <c r="B19">
        <v>1.6999999999999999E-3</v>
      </c>
      <c r="C19" s="41" t="s">
        <v>101</v>
      </c>
      <c r="I19" t="s">
        <v>129</v>
      </c>
      <c r="L19" s="28"/>
      <c r="M19" s="28"/>
      <c r="N19" s="33"/>
    </row>
    <row r="20" spans="1:14" x14ac:dyDescent="0.2">
      <c r="A20" t="s">
        <v>39</v>
      </c>
      <c r="B20">
        <v>4.4000000000000003E-3</v>
      </c>
      <c r="C20" s="41" t="s">
        <v>102</v>
      </c>
      <c r="I20" t="s">
        <v>130</v>
      </c>
      <c r="L20" s="28"/>
      <c r="M20" s="28"/>
      <c r="N20" s="33"/>
    </row>
    <row r="21" spans="1:14" x14ac:dyDescent="0.2">
      <c r="A21" t="s">
        <v>40</v>
      </c>
      <c r="B21">
        <v>1.38E-2</v>
      </c>
      <c r="C21" s="41" t="s">
        <v>103</v>
      </c>
      <c r="L21" s="28"/>
      <c r="M21" s="28"/>
      <c r="N21" s="33"/>
    </row>
    <row r="22" spans="1:14" x14ac:dyDescent="0.2">
      <c r="A22" t="s">
        <v>41</v>
      </c>
      <c r="B22">
        <v>3.7900000000000003E-2</v>
      </c>
      <c r="C22" s="41" t="s">
        <v>104</v>
      </c>
      <c r="K22" s="31"/>
      <c r="L22" s="28"/>
      <c r="M22" s="28"/>
      <c r="N22" s="33"/>
    </row>
    <row r="23" spans="1:14" x14ac:dyDescent="0.2">
      <c r="A23" t="s">
        <v>42</v>
      </c>
      <c r="B23">
        <v>9.1200000000000003E-2</v>
      </c>
      <c r="C23" s="41" t="s">
        <v>105</v>
      </c>
      <c r="L23" s="28"/>
      <c r="M23" s="28"/>
      <c r="N23" s="33"/>
    </row>
    <row r="24" spans="1:14" x14ac:dyDescent="0.2">
      <c r="A24" t="s">
        <v>43</v>
      </c>
      <c r="B24">
        <v>0.1958</v>
      </c>
      <c r="C24" s="41" t="s">
        <v>106</v>
      </c>
      <c r="J24" s="3"/>
      <c r="K24" s="32"/>
      <c r="L24" s="28"/>
      <c r="M24" s="28"/>
      <c r="N24" s="33"/>
    </row>
    <row r="25" spans="1:14" x14ac:dyDescent="0.2">
      <c r="J25" s="10"/>
      <c r="K25" s="31"/>
      <c r="L25" s="28"/>
      <c r="M25" s="28"/>
      <c r="N25" s="33"/>
    </row>
    <row r="26" spans="1:14" x14ac:dyDescent="0.2">
      <c r="J26" s="8"/>
      <c r="K26" s="31"/>
      <c r="L26" s="28"/>
      <c r="M26" s="28"/>
      <c r="N26" s="33"/>
    </row>
    <row r="27" spans="1:14" x14ac:dyDescent="0.2">
      <c r="K27" s="31"/>
      <c r="L27" s="28"/>
      <c r="M27" s="28"/>
      <c r="N27" s="33"/>
    </row>
    <row r="28" spans="1:14" ht="15.75" x14ac:dyDescent="0.25">
      <c r="A28" s="2" t="s">
        <v>61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53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">
      <c r="A32" t="s">
        <v>54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x14ac:dyDescent="0.2">
      <c r="A33" t="s">
        <v>62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55</v>
      </c>
      <c r="L33" s="5"/>
    </row>
    <row r="34" spans="1:12" x14ac:dyDescent="0.2">
      <c r="C34" s="5"/>
      <c r="L34" s="5"/>
    </row>
    <row r="35" spans="1:12" x14ac:dyDescent="0.2">
      <c r="A35" s="1" t="s">
        <v>125</v>
      </c>
      <c r="L35" s="5"/>
    </row>
    <row r="36" spans="1:12" x14ac:dyDescent="0.2">
      <c r="L36" s="5"/>
    </row>
    <row r="37" spans="1:12" x14ac:dyDescent="0.2">
      <c r="A37" t="s">
        <v>126</v>
      </c>
      <c r="B37" s="3" t="s">
        <v>127</v>
      </c>
      <c r="C37" t="s">
        <v>128</v>
      </c>
      <c r="D37" t="s">
        <v>55</v>
      </c>
      <c r="G37" s="43" t="s">
        <v>55</v>
      </c>
      <c r="H37" s="3" t="s">
        <v>127</v>
      </c>
      <c r="I37" t="s">
        <v>128</v>
      </c>
      <c r="L37" s="5"/>
    </row>
    <row r="38" spans="1:12" x14ac:dyDescent="0.2">
      <c r="A38">
        <v>1</v>
      </c>
      <c r="B38" s="7">
        <v>1.0404758697242436</v>
      </c>
      <c r="C38" s="28">
        <v>6496.8969280453102</v>
      </c>
      <c r="D38" s="28">
        <v>6244.1591555286886</v>
      </c>
      <c r="F38" s="9" t="s">
        <v>96</v>
      </c>
      <c r="G38" s="28">
        <f>MIN($D$38:$D$1037)</f>
        <v>3444.258071609217</v>
      </c>
      <c r="H38" s="44">
        <f>AVERAGE(B38:B1037)</f>
        <v>0.85014127033197318</v>
      </c>
      <c r="I38" s="28">
        <f>AVERAGE(C38:C1037)</f>
        <v>6859.4345743525728</v>
      </c>
      <c r="L38" s="5"/>
    </row>
    <row r="39" spans="1:12" x14ac:dyDescent="0.2">
      <c r="A39">
        <v>2</v>
      </c>
      <c r="B39" s="7">
        <v>1.3322767229841128</v>
      </c>
      <c r="C39" s="28">
        <v>6084.4682781538886</v>
      </c>
      <c r="D39" s="28">
        <v>4566.9703397095564</v>
      </c>
      <c r="F39" s="9" t="s">
        <v>95</v>
      </c>
      <c r="G39" s="28">
        <f>MEDIAN($D$38:$D$1037)</f>
        <v>8095.5843613004163</v>
      </c>
      <c r="L39" s="5"/>
    </row>
    <row r="40" spans="1:12" x14ac:dyDescent="0.2">
      <c r="A40">
        <v>3</v>
      </c>
      <c r="B40" s="7">
        <v>0.65033442260976138</v>
      </c>
      <c r="C40" s="28">
        <v>5216.5555801599603</v>
      </c>
      <c r="D40" s="28">
        <v>8021.3431717579533</v>
      </c>
      <c r="F40" s="9" t="s">
        <v>97</v>
      </c>
      <c r="G40" s="28">
        <f>MAX($D$38:$D$1037)</f>
        <v>16936.929340135761</v>
      </c>
      <c r="L40" s="5"/>
    </row>
    <row r="41" spans="1:12" x14ac:dyDescent="0.2">
      <c r="A41">
        <v>4</v>
      </c>
      <c r="B41" s="7">
        <v>0.75109185219229246</v>
      </c>
      <c r="C41" s="28">
        <v>9139.6782922626644</v>
      </c>
      <c r="D41" s="28">
        <v>12168.522752025207</v>
      </c>
      <c r="F41" s="9" t="s">
        <v>32</v>
      </c>
      <c r="G41" s="28">
        <f>AVERAGE($D$38:$D$1037)</f>
        <v>8370.6519654060048</v>
      </c>
    </row>
    <row r="42" spans="1:12" x14ac:dyDescent="0.2">
      <c r="A42">
        <v>5</v>
      </c>
      <c r="B42" s="7">
        <v>0.96088792196150585</v>
      </c>
      <c r="C42" s="28">
        <v>5138.0220545393167</v>
      </c>
      <c r="D42" s="28">
        <v>5347.1606179114315</v>
      </c>
      <c r="F42" s="9" t="s">
        <v>94</v>
      </c>
      <c r="G42" s="28">
        <f>STDEV($D$38:$D$1037)</f>
        <v>2200.2019668927169</v>
      </c>
    </row>
    <row r="43" spans="1:12" x14ac:dyDescent="0.2">
      <c r="A43">
        <v>6</v>
      </c>
      <c r="B43" s="7">
        <v>0.87022187188621558</v>
      </c>
      <c r="C43" s="28">
        <v>6434.5580425567823</v>
      </c>
      <c r="D43" s="28">
        <v>7394.1580307672639</v>
      </c>
      <c r="F43" s="30">
        <v>2.5000000000000001E-2</v>
      </c>
      <c r="G43" s="28">
        <f>PERCENTILE($D$38:$D$1037,0.025)</f>
        <v>4756.762681084143</v>
      </c>
    </row>
    <row r="44" spans="1:12" x14ac:dyDescent="0.2">
      <c r="A44">
        <v>7</v>
      </c>
      <c r="B44" s="7">
        <v>0.76211880611533367</v>
      </c>
      <c r="C44" s="28">
        <v>7385.8996932691507</v>
      </c>
      <c r="D44" s="28">
        <v>9691.2707493947091</v>
      </c>
      <c r="F44" s="30">
        <v>0.97499999999999998</v>
      </c>
      <c r="G44" s="28">
        <f>PERCENTILE($D$38:$D$1037,0.975)</f>
        <v>13413.763387194038</v>
      </c>
    </row>
    <row r="45" spans="1:12" x14ac:dyDescent="0.2">
      <c r="A45">
        <v>8</v>
      </c>
      <c r="B45" s="7">
        <v>0.75353559987892815</v>
      </c>
      <c r="C45" s="28">
        <v>7028.9410486892411</v>
      </c>
      <c r="D45" s="28">
        <v>9327.9482081783444</v>
      </c>
    </row>
    <row r="46" spans="1:12" x14ac:dyDescent="0.2">
      <c r="A46">
        <v>9</v>
      </c>
      <c r="B46" s="7">
        <v>1.0270691120525424</v>
      </c>
      <c r="C46" s="28">
        <v>6992.2574822344259</v>
      </c>
      <c r="D46" s="28">
        <v>6807.9717325553447</v>
      </c>
    </row>
    <row r="47" spans="1:12" x14ac:dyDescent="0.2">
      <c r="A47">
        <v>10</v>
      </c>
      <c r="B47" s="7">
        <v>0.82216400189966699</v>
      </c>
      <c r="C47" s="28">
        <v>7313.5727130359137</v>
      </c>
      <c r="D47" s="28">
        <v>8895.5156101913926</v>
      </c>
    </row>
    <row r="48" spans="1:12" x14ac:dyDescent="0.2">
      <c r="A48">
        <v>11</v>
      </c>
      <c r="B48" s="7">
        <v>0.76967387460334358</v>
      </c>
      <c r="C48" s="28">
        <v>5637.8457006281151</v>
      </c>
      <c r="D48" s="28">
        <v>7324.979951454914</v>
      </c>
    </row>
    <row r="49" spans="1:5" x14ac:dyDescent="0.2">
      <c r="A49">
        <v>12</v>
      </c>
      <c r="B49" s="7">
        <v>0.81889675300303111</v>
      </c>
      <c r="C49" s="28">
        <v>7491.9012282924195</v>
      </c>
      <c r="D49" s="28">
        <v>9148.7738848864246</v>
      </c>
      <c r="E49" s="4"/>
    </row>
    <row r="50" spans="1:5" x14ac:dyDescent="0.2">
      <c r="A50">
        <v>13</v>
      </c>
      <c r="B50" s="7">
        <v>0.82397684181716535</v>
      </c>
      <c r="C50" s="28">
        <v>4325.816346130252</v>
      </c>
      <c r="D50" s="28">
        <v>5249.9246660746812</v>
      </c>
    </row>
    <row r="51" spans="1:5" x14ac:dyDescent="0.2">
      <c r="A51">
        <v>14</v>
      </c>
      <c r="B51" s="7">
        <v>0.84023089624473979</v>
      </c>
      <c r="C51" s="28">
        <v>6338.371730423587</v>
      </c>
      <c r="D51" s="28">
        <v>7543.6070712845649</v>
      </c>
    </row>
    <row r="52" spans="1:5" x14ac:dyDescent="0.2">
      <c r="A52">
        <v>15</v>
      </c>
      <c r="B52" s="7">
        <v>0.92934817325704522</v>
      </c>
      <c r="C52" s="28">
        <v>8459.6313761382989</v>
      </c>
      <c r="D52" s="28">
        <v>9102.7578463841</v>
      </c>
    </row>
    <row r="53" spans="1:5" x14ac:dyDescent="0.2">
      <c r="A53">
        <v>16</v>
      </c>
      <c r="B53" s="7">
        <v>1.0187325943584948</v>
      </c>
      <c r="C53" s="28">
        <v>6714.6119537728155</v>
      </c>
      <c r="D53" s="28">
        <v>6591.1427502730166</v>
      </c>
    </row>
    <row r="54" spans="1:5" x14ac:dyDescent="0.2">
      <c r="A54">
        <v>17</v>
      </c>
      <c r="B54" s="7">
        <v>1.0780668394507265</v>
      </c>
      <c r="C54" s="28">
        <v>5640.8876518866164</v>
      </c>
      <c r="D54" s="28">
        <v>5232.4099447865783</v>
      </c>
    </row>
    <row r="55" spans="1:5" x14ac:dyDescent="0.2">
      <c r="A55">
        <v>18</v>
      </c>
      <c r="B55" s="7">
        <v>1.034173566659307</v>
      </c>
      <c r="C55" s="28">
        <v>5528.557661235348</v>
      </c>
      <c r="D55" s="28">
        <v>5345.8702092862986</v>
      </c>
    </row>
    <row r="56" spans="1:5" x14ac:dyDescent="0.2">
      <c r="A56">
        <v>19</v>
      </c>
      <c r="B56" s="7">
        <v>0.80539195324131541</v>
      </c>
      <c r="C56" s="28">
        <v>6213.3021183365672</v>
      </c>
      <c r="D56" s="28">
        <v>7714.6314826352727</v>
      </c>
    </row>
    <row r="57" spans="1:5" x14ac:dyDescent="0.2">
      <c r="A57">
        <v>20</v>
      </c>
      <c r="B57" s="7">
        <v>1.0092888125035806</v>
      </c>
      <c r="C57" s="28">
        <v>8203.9713003829602</v>
      </c>
      <c r="D57" s="28">
        <v>8128.4674899275724</v>
      </c>
    </row>
    <row r="58" spans="1:5" x14ac:dyDescent="0.2">
      <c r="A58">
        <v>21</v>
      </c>
      <c r="B58" s="7">
        <v>1.0518279448598138</v>
      </c>
      <c r="C58" s="28">
        <v>7429.0448915287352</v>
      </c>
      <c r="D58" s="28">
        <v>7062.9848996062456</v>
      </c>
    </row>
    <row r="59" spans="1:5" x14ac:dyDescent="0.2">
      <c r="A59">
        <v>22</v>
      </c>
      <c r="B59" s="7">
        <v>0.77518910692205001</v>
      </c>
      <c r="C59" s="28">
        <v>9777.7350302687373</v>
      </c>
      <c r="D59" s="28">
        <v>12613.354525958204</v>
      </c>
    </row>
    <row r="60" spans="1:5" x14ac:dyDescent="0.2">
      <c r="A60">
        <v>23</v>
      </c>
      <c r="B60" s="7">
        <v>0.90455516316373252</v>
      </c>
      <c r="C60" s="28">
        <v>6330.2105951023168</v>
      </c>
      <c r="D60" s="28">
        <v>6998.1476563154529</v>
      </c>
    </row>
    <row r="61" spans="1:5" x14ac:dyDescent="0.2">
      <c r="A61">
        <v>24</v>
      </c>
      <c r="B61" s="7">
        <v>1.0095169406121549</v>
      </c>
      <c r="C61" s="28">
        <v>7582.4787700808465</v>
      </c>
      <c r="D61" s="28">
        <v>7510.9970571498807</v>
      </c>
    </row>
    <row r="62" spans="1:5" x14ac:dyDescent="0.2">
      <c r="A62">
        <v>25</v>
      </c>
      <c r="B62" s="7">
        <v>0.64157646981205296</v>
      </c>
      <c r="C62" s="28">
        <v>7119.2671238800376</v>
      </c>
      <c r="D62" s="28">
        <v>11096.521550993908</v>
      </c>
    </row>
    <row r="63" spans="1:5" x14ac:dyDescent="0.2">
      <c r="A63">
        <v>26</v>
      </c>
      <c r="B63" s="7">
        <v>0.71430876435561075</v>
      </c>
      <c r="C63" s="28">
        <v>6148.5963325928824</v>
      </c>
      <c r="D63" s="28">
        <v>8607.7570924663487</v>
      </c>
    </row>
    <row r="64" spans="1:5" x14ac:dyDescent="0.2">
      <c r="A64">
        <v>27</v>
      </c>
      <c r="B64" s="7">
        <v>0.80172911116840151</v>
      </c>
      <c r="C64" s="28">
        <v>5922.9286710087163</v>
      </c>
      <c r="D64" s="28">
        <v>7387.6931603206031</v>
      </c>
    </row>
    <row r="65" spans="1:4" x14ac:dyDescent="0.2">
      <c r="A65">
        <v>28</v>
      </c>
      <c r="B65" s="7">
        <v>0.72899989167549517</v>
      </c>
      <c r="C65" s="28">
        <v>6473.1891623515185</v>
      </c>
      <c r="D65" s="28">
        <v>8879.5474955063164</v>
      </c>
    </row>
    <row r="66" spans="1:4" x14ac:dyDescent="0.2">
      <c r="A66">
        <v>29</v>
      </c>
      <c r="B66" s="7">
        <v>1.0149530245248473</v>
      </c>
      <c r="C66" s="28">
        <v>9245.288167057106</v>
      </c>
      <c r="D66" s="28">
        <v>9109.079872327402</v>
      </c>
    </row>
    <row r="67" spans="1:4" x14ac:dyDescent="0.2">
      <c r="A67">
        <v>30</v>
      </c>
      <c r="B67" s="7">
        <v>1.0503202168677168</v>
      </c>
      <c r="C67" s="28">
        <v>5838.0923745148784</v>
      </c>
      <c r="D67" s="28">
        <v>5558.3928413044723</v>
      </c>
    </row>
    <row r="68" spans="1:4" x14ac:dyDescent="0.2">
      <c r="A68">
        <v>31</v>
      </c>
      <c r="B68" s="7">
        <v>0.87379252549386521</v>
      </c>
      <c r="C68" s="28">
        <v>8057.7916663550877</v>
      </c>
      <c r="D68" s="28">
        <v>9221.6303427416533</v>
      </c>
    </row>
    <row r="69" spans="1:4" x14ac:dyDescent="0.2">
      <c r="A69">
        <v>32</v>
      </c>
      <c r="B69" s="7">
        <v>0.78428063011140026</v>
      </c>
      <c r="C69" s="28">
        <v>6012.341789819804</v>
      </c>
      <c r="D69" s="28">
        <v>7666.0592637176351</v>
      </c>
    </row>
    <row r="70" spans="1:4" x14ac:dyDescent="0.2">
      <c r="A70">
        <v>33</v>
      </c>
      <c r="B70" s="7">
        <v>0.97345949284458833</v>
      </c>
      <c r="C70" s="28">
        <v>7039.3970037286526</v>
      </c>
      <c r="D70" s="28">
        <v>7231.3199013125077</v>
      </c>
    </row>
    <row r="71" spans="1:4" x14ac:dyDescent="0.2">
      <c r="A71">
        <v>34</v>
      </c>
      <c r="B71" s="7">
        <v>0.7682023383163461</v>
      </c>
      <c r="C71" s="28">
        <v>5565.8817909300942</v>
      </c>
      <c r="D71" s="28">
        <v>7245.3330500512766</v>
      </c>
    </row>
    <row r="72" spans="1:4" x14ac:dyDescent="0.2">
      <c r="A72">
        <v>35</v>
      </c>
      <c r="B72" s="7">
        <v>0.47915672924965413</v>
      </c>
      <c r="C72" s="28">
        <v>8115.4436661519539</v>
      </c>
      <c r="D72" s="28">
        <v>16936.929340135761</v>
      </c>
    </row>
    <row r="73" spans="1:4" x14ac:dyDescent="0.2">
      <c r="A73">
        <v>36</v>
      </c>
      <c r="B73" s="7">
        <v>1.0095334622640646</v>
      </c>
      <c r="C73" s="28">
        <v>5251.6395206382822</v>
      </c>
      <c r="D73" s="28">
        <v>5202.0460112936862</v>
      </c>
    </row>
    <row r="74" spans="1:4" x14ac:dyDescent="0.2">
      <c r="A74">
        <v>37</v>
      </c>
      <c r="B74" s="7">
        <v>0.90063804659674318</v>
      </c>
      <c r="C74" s="28">
        <v>6838.0509162089038</v>
      </c>
      <c r="D74" s="28">
        <v>7592.4517535628956</v>
      </c>
    </row>
    <row r="75" spans="1:4" x14ac:dyDescent="0.2">
      <c r="A75">
        <v>38</v>
      </c>
      <c r="B75" s="7">
        <v>0.69046811629438309</v>
      </c>
      <c r="C75" s="28">
        <v>7395.493721786378</v>
      </c>
      <c r="D75" s="28">
        <v>10710.840294084323</v>
      </c>
    </row>
    <row r="76" spans="1:4" x14ac:dyDescent="0.2">
      <c r="A76">
        <v>39</v>
      </c>
      <c r="B76" s="7">
        <v>1.0936916079616426</v>
      </c>
      <c r="C76" s="28">
        <v>6814.4567591571395</v>
      </c>
      <c r="D76" s="28">
        <v>6230.6931035683074</v>
      </c>
    </row>
    <row r="77" spans="1:4" x14ac:dyDescent="0.2">
      <c r="A77">
        <v>40</v>
      </c>
      <c r="B77" s="7">
        <v>0.94397302704888908</v>
      </c>
      <c r="C77" s="28">
        <v>5629.6327965298369</v>
      </c>
      <c r="D77" s="28">
        <v>5963.7644670097907</v>
      </c>
    </row>
    <row r="78" spans="1:4" x14ac:dyDescent="0.2">
      <c r="A78">
        <v>41</v>
      </c>
      <c r="B78" s="7">
        <v>0.90092742014410554</v>
      </c>
      <c r="C78" s="28">
        <v>6584.6915542415591</v>
      </c>
      <c r="D78" s="28">
        <v>7308.7924809618089</v>
      </c>
    </row>
    <row r="79" spans="1:4" x14ac:dyDescent="0.2">
      <c r="A79">
        <v>42</v>
      </c>
      <c r="B79" s="7">
        <v>1.0989368594779014</v>
      </c>
      <c r="C79" s="28">
        <v>6244.2972328116621</v>
      </c>
      <c r="D79" s="28">
        <v>5682.1255734185597</v>
      </c>
    </row>
    <row r="80" spans="1:4" x14ac:dyDescent="0.2">
      <c r="A80">
        <v>43</v>
      </c>
      <c r="B80" s="7">
        <v>0.86030869373628605</v>
      </c>
      <c r="C80" s="28">
        <v>6134.7117758529384</v>
      </c>
      <c r="D80" s="28">
        <v>7130.8262028715899</v>
      </c>
    </row>
    <row r="81" spans="1:4" x14ac:dyDescent="0.2">
      <c r="A81">
        <v>44</v>
      </c>
      <c r="B81" s="7">
        <v>1.3690800373445766</v>
      </c>
      <c r="C81" s="28">
        <v>7807.1308648710001</v>
      </c>
      <c r="D81" s="28">
        <v>5702.4649048374549</v>
      </c>
    </row>
    <row r="82" spans="1:4" x14ac:dyDescent="0.2">
      <c r="A82">
        <v>45</v>
      </c>
      <c r="B82" s="7">
        <v>0.70321360003266609</v>
      </c>
      <c r="C82" s="28">
        <v>6750.8090370349682</v>
      </c>
      <c r="D82" s="28">
        <v>9599.9409521109592</v>
      </c>
    </row>
    <row r="83" spans="1:4" x14ac:dyDescent="0.2">
      <c r="A83">
        <v>46</v>
      </c>
      <c r="B83" s="7">
        <v>1.0331035102610482</v>
      </c>
      <c r="C83" s="28">
        <v>6675.132881069072</v>
      </c>
      <c r="D83" s="28">
        <v>6461.2430552891801</v>
      </c>
    </row>
    <row r="84" spans="1:4" x14ac:dyDescent="0.2">
      <c r="A84">
        <v>47</v>
      </c>
      <c r="B84" s="7">
        <v>0.83416047220657497</v>
      </c>
      <c r="C84" s="28">
        <v>5752.9109510785456</v>
      </c>
      <c r="D84" s="28">
        <v>6896.6477587466779</v>
      </c>
    </row>
    <row r="85" spans="1:4" x14ac:dyDescent="0.2">
      <c r="A85">
        <v>48</v>
      </c>
      <c r="B85" s="7">
        <v>0.76702157342262201</v>
      </c>
      <c r="C85" s="28">
        <v>7426.067508547656</v>
      </c>
      <c r="D85" s="28">
        <v>9681.6931437937001</v>
      </c>
    </row>
    <row r="86" spans="1:4" x14ac:dyDescent="0.2">
      <c r="A86">
        <v>49</v>
      </c>
      <c r="B86" s="7">
        <v>0.83711257163548325</v>
      </c>
      <c r="C86" s="28">
        <v>7342.4091278424885</v>
      </c>
      <c r="D86" s="28">
        <v>8771.1132010566744</v>
      </c>
    </row>
    <row r="87" spans="1:4" x14ac:dyDescent="0.2">
      <c r="A87">
        <v>50</v>
      </c>
      <c r="B87" s="7">
        <v>1.0042623064769254</v>
      </c>
      <c r="C87" s="28">
        <v>7320.6981870370273</v>
      </c>
      <c r="D87" s="28">
        <v>7289.6275602725036</v>
      </c>
    </row>
    <row r="88" spans="1:4" x14ac:dyDescent="0.2">
      <c r="A88">
        <v>51</v>
      </c>
      <c r="B88" s="7">
        <v>0.85003703302783595</v>
      </c>
      <c r="C88" s="28">
        <v>6414.2521635693865</v>
      </c>
      <c r="D88" s="28">
        <v>7545.8502563374086</v>
      </c>
    </row>
    <row r="89" spans="1:4" x14ac:dyDescent="0.2">
      <c r="A89">
        <v>52</v>
      </c>
      <c r="B89" s="7">
        <v>0.59914988156439009</v>
      </c>
      <c r="C89" s="28">
        <v>6355.4116036236064</v>
      </c>
      <c r="D89" s="28">
        <v>10607.381890870984</v>
      </c>
    </row>
    <row r="90" spans="1:4" x14ac:dyDescent="0.2">
      <c r="A90">
        <v>53</v>
      </c>
      <c r="B90" s="7">
        <v>0.68307900308484548</v>
      </c>
      <c r="C90" s="28">
        <v>7421.7888984057499</v>
      </c>
      <c r="D90" s="28">
        <v>10865.198410269224</v>
      </c>
    </row>
    <row r="91" spans="1:4" x14ac:dyDescent="0.2">
      <c r="A91">
        <v>54</v>
      </c>
      <c r="B91" s="35">
        <v>0.8622534063353875</v>
      </c>
      <c r="C91" s="36">
        <v>7425.9770644118908</v>
      </c>
      <c r="D91" s="36">
        <v>8612.2907834862599</v>
      </c>
    </row>
    <row r="92" spans="1:4" x14ac:dyDescent="0.2">
      <c r="A92">
        <v>55</v>
      </c>
      <c r="B92" s="7">
        <v>0.98997505781226547</v>
      </c>
      <c r="C92" s="28">
        <v>5737.6079882774502</v>
      </c>
      <c r="D92" s="28">
        <v>5795.7096423791972</v>
      </c>
    </row>
    <row r="93" spans="1:4" x14ac:dyDescent="0.2">
      <c r="A93">
        <v>56</v>
      </c>
      <c r="B93" s="7">
        <v>0.77402885957874545</v>
      </c>
      <c r="C93" s="28">
        <v>7026.3617925440994</v>
      </c>
      <c r="D93" s="28">
        <v>9077.6483403578768</v>
      </c>
    </row>
    <row r="94" spans="1:4" x14ac:dyDescent="0.2">
      <c r="A94">
        <v>57</v>
      </c>
      <c r="B94" s="7">
        <v>0.99119686000971807</v>
      </c>
      <c r="C94" s="28">
        <v>5587.6833499403083</v>
      </c>
      <c r="D94" s="28">
        <v>5637.3093735239681</v>
      </c>
    </row>
    <row r="95" spans="1:4" x14ac:dyDescent="0.2">
      <c r="A95">
        <v>58</v>
      </c>
      <c r="B95" s="7">
        <v>0.78379677702195583</v>
      </c>
      <c r="C95" s="28">
        <v>8198.8147193889454</v>
      </c>
      <c r="D95" s="28">
        <v>10460.383303106233</v>
      </c>
    </row>
    <row r="96" spans="1:4" x14ac:dyDescent="0.2">
      <c r="A96">
        <v>59</v>
      </c>
      <c r="B96" s="7">
        <v>0.79084283451267989</v>
      </c>
      <c r="C96" s="28">
        <v>5450.9115322261187</v>
      </c>
      <c r="D96" s="28">
        <v>6892.5345142502165</v>
      </c>
    </row>
    <row r="97" spans="1:4" x14ac:dyDescent="0.2">
      <c r="A97">
        <v>60</v>
      </c>
      <c r="B97" s="7">
        <v>0.80256788041593374</v>
      </c>
      <c r="C97" s="28">
        <v>6440.5537834521419</v>
      </c>
      <c r="D97" s="28">
        <v>8024.9333926923427</v>
      </c>
    </row>
    <row r="98" spans="1:4" x14ac:dyDescent="0.2">
      <c r="A98">
        <v>61</v>
      </c>
      <c r="B98" s="7">
        <v>0.98587019865248848</v>
      </c>
      <c r="C98" s="28">
        <v>7954.6283654775598</v>
      </c>
      <c r="D98" s="28">
        <v>8068.636597749015</v>
      </c>
    </row>
    <row r="99" spans="1:4" x14ac:dyDescent="0.2">
      <c r="A99">
        <v>62</v>
      </c>
      <c r="B99" s="7">
        <v>0.91653886957129416</v>
      </c>
      <c r="C99" s="28">
        <v>5179.7845285736148</v>
      </c>
      <c r="D99" s="28">
        <v>5651.4619298103853</v>
      </c>
    </row>
    <row r="100" spans="1:4" x14ac:dyDescent="0.2">
      <c r="A100">
        <v>63</v>
      </c>
      <c r="B100" s="7">
        <v>1.1302812925033967</v>
      </c>
      <c r="C100" s="28">
        <v>8475.887442389936</v>
      </c>
      <c r="D100" s="28">
        <v>7498.9186307924883</v>
      </c>
    </row>
    <row r="101" spans="1:4" x14ac:dyDescent="0.2">
      <c r="A101">
        <v>64</v>
      </c>
      <c r="B101" s="7">
        <v>0.97914205713760616</v>
      </c>
      <c r="C101" s="28">
        <v>6645.8122786186632</v>
      </c>
      <c r="D101" s="28">
        <v>6787.3831280895301</v>
      </c>
    </row>
    <row r="102" spans="1:4" x14ac:dyDescent="0.2">
      <c r="A102">
        <v>65</v>
      </c>
      <c r="B102" s="7">
        <v>0.98821980326519387</v>
      </c>
      <c r="C102" s="28">
        <v>7462.6103814995968</v>
      </c>
      <c r="D102" s="28">
        <v>7551.5693541479932</v>
      </c>
    </row>
    <row r="103" spans="1:4" x14ac:dyDescent="0.2">
      <c r="A103">
        <v>66</v>
      </c>
      <c r="B103" s="7">
        <v>1.0306386257608526</v>
      </c>
      <c r="C103" s="28">
        <v>5983.468057728569</v>
      </c>
      <c r="D103" s="28">
        <v>5805.5926763965099</v>
      </c>
    </row>
    <row r="104" spans="1:4" x14ac:dyDescent="0.2">
      <c r="A104">
        <v>67</v>
      </c>
      <c r="B104" s="7">
        <v>0.76159171240913537</v>
      </c>
      <c r="C104" s="28">
        <v>7094.6408427847209</v>
      </c>
      <c r="D104" s="28">
        <v>9315.5436530976876</v>
      </c>
    </row>
    <row r="105" spans="1:4" x14ac:dyDescent="0.2">
      <c r="A105">
        <v>68</v>
      </c>
      <c r="B105" s="7">
        <v>0.90056740361252263</v>
      </c>
      <c r="C105" s="28">
        <v>7859.3098557465801</v>
      </c>
      <c r="D105" s="28">
        <v>8727.0645419985904</v>
      </c>
    </row>
    <row r="106" spans="1:4" x14ac:dyDescent="0.2">
      <c r="A106">
        <v>69</v>
      </c>
      <c r="B106" s="7">
        <v>0.80122729379044877</v>
      </c>
      <c r="C106" s="28">
        <v>7582.3718104691616</v>
      </c>
      <c r="D106" s="28">
        <v>9463.4467263321148</v>
      </c>
    </row>
    <row r="107" spans="1:4" x14ac:dyDescent="0.2">
      <c r="A107">
        <v>70</v>
      </c>
      <c r="B107" s="7">
        <v>0.99742372203236407</v>
      </c>
      <c r="C107" s="28">
        <v>6525.6385267378773</v>
      </c>
      <c r="D107" s="28">
        <v>6542.4938093924093</v>
      </c>
    </row>
    <row r="108" spans="1:4" x14ac:dyDescent="0.2">
      <c r="A108">
        <v>71</v>
      </c>
      <c r="B108" s="7">
        <v>1.0666962685635557</v>
      </c>
      <c r="C108" s="28">
        <v>4656.3704167594569</v>
      </c>
      <c r="D108" s="28">
        <v>4365.2261229242522</v>
      </c>
    </row>
    <row r="109" spans="1:4" x14ac:dyDescent="0.2">
      <c r="A109">
        <v>72</v>
      </c>
      <c r="B109" s="7">
        <v>0.62064503928830561</v>
      </c>
      <c r="C109" s="28">
        <v>7072.2317718264931</v>
      </c>
      <c r="D109" s="28">
        <v>11394.970271471482</v>
      </c>
    </row>
    <row r="110" spans="1:4" x14ac:dyDescent="0.2">
      <c r="A110">
        <v>73</v>
      </c>
      <c r="B110" s="7">
        <v>0.92512546686231278</v>
      </c>
      <c r="C110" s="28">
        <v>5459.1813457943572</v>
      </c>
      <c r="D110" s="28">
        <v>5901.0172580265289</v>
      </c>
    </row>
    <row r="111" spans="1:4" x14ac:dyDescent="0.2">
      <c r="A111">
        <v>74</v>
      </c>
      <c r="B111" s="7">
        <v>1.0692004364290026</v>
      </c>
      <c r="C111" s="28">
        <v>5968.0400565614855</v>
      </c>
      <c r="D111" s="28">
        <v>5581.778545184663</v>
      </c>
    </row>
    <row r="112" spans="1:4" x14ac:dyDescent="0.2">
      <c r="A112">
        <v>75</v>
      </c>
      <c r="B112" s="35">
        <v>0.74978666460018673</v>
      </c>
      <c r="C112" s="36">
        <v>8037.0798824313133</v>
      </c>
      <c r="D112" s="36">
        <v>10719.155543686515</v>
      </c>
    </row>
    <row r="113" spans="1:4" x14ac:dyDescent="0.2">
      <c r="A113">
        <v>76</v>
      </c>
      <c r="B113" s="7">
        <v>0.85418077387279201</v>
      </c>
      <c r="C113" s="28">
        <v>7015.3533742187337</v>
      </c>
      <c r="D113" s="28">
        <v>8212.9609899923689</v>
      </c>
    </row>
    <row r="114" spans="1:4" x14ac:dyDescent="0.2">
      <c r="A114">
        <v>77</v>
      </c>
      <c r="B114" s="7">
        <v>0.93826435166208277</v>
      </c>
      <c r="C114" s="28">
        <v>6865.8638461320388</v>
      </c>
      <c r="D114" s="28">
        <v>7317.6219835801558</v>
      </c>
    </row>
    <row r="115" spans="1:4" x14ac:dyDescent="0.2">
      <c r="A115">
        <v>78</v>
      </c>
      <c r="B115" s="7">
        <v>1.031516241612243</v>
      </c>
      <c r="C115" s="28">
        <v>5291.499601928741</v>
      </c>
      <c r="D115" s="28">
        <v>5129.8267428714589</v>
      </c>
    </row>
    <row r="116" spans="1:4" x14ac:dyDescent="0.2">
      <c r="A116">
        <v>79</v>
      </c>
      <c r="B116" s="35">
        <v>0.54763840103526018</v>
      </c>
      <c r="C116" s="36">
        <v>7407.728719571307</v>
      </c>
      <c r="D116" s="36">
        <v>13526.678745624256</v>
      </c>
    </row>
    <row r="117" spans="1:4" x14ac:dyDescent="0.2">
      <c r="A117">
        <v>80</v>
      </c>
      <c r="B117" s="7">
        <v>0.95704450533588759</v>
      </c>
      <c r="C117" s="28">
        <v>6176.9422699684337</v>
      </c>
      <c r="D117" s="28">
        <v>6454.1849783679108</v>
      </c>
    </row>
    <row r="118" spans="1:4" x14ac:dyDescent="0.2">
      <c r="A118">
        <v>81</v>
      </c>
      <c r="B118" s="7">
        <v>0.88923604204074991</v>
      </c>
      <c r="C118" s="28">
        <v>6258.4663578374111</v>
      </c>
      <c r="D118" s="28">
        <v>7038.0259705562094</v>
      </c>
    </row>
    <row r="119" spans="1:4" x14ac:dyDescent="0.2">
      <c r="A119">
        <v>82</v>
      </c>
      <c r="B119" s="7">
        <v>0.7498187558255367</v>
      </c>
      <c r="C119" s="28">
        <v>6688.8689111822387</v>
      </c>
      <c r="D119" s="28">
        <v>8920.6476354648094</v>
      </c>
    </row>
    <row r="120" spans="1:4" x14ac:dyDescent="0.2">
      <c r="A120">
        <v>83</v>
      </c>
      <c r="B120" s="7">
        <v>0.85295532271888419</v>
      </c>
      <c r="C120" s="28">
        <v>6984.9428612078591</v>
      </c>
      <c r="D120" s="28">
        <v>8189.1075360695613</v>
      </c>
    </row>
    <row r="121" spans="1:4" x14ac:dyDescent="0.2">
      <c r="A121">
        <v>84</v>
      </c>
      <c r="B121" s="7">
        <v>0.74017131022245319</v>
      </c>
      <c r="C121" s="28">
        <v>5969.031573251832</v>
      </c>
      <c r="D121" s="28">
        <v>8064.3919736066</v>
      </c>
    </row>
    <row r="122" spans="1:4" x14ac:dyDescent="0.2">
      <c r="A122">
        <v>85</v>
      </c>
      <c r="B122" s="7">
        <v>0.90784478966581883</v>
      </c>
      <c r="C122" s="28">
        <v>5643.60290542642</v>
      </c>
      <c r="D122" s="28">
        <v>6216.4843260309417</v>
      </c>
    </row>
    <row r="123" spans="1:4" x14ac:dyDescent="0.2">
      <c r="A123">
        <v>86</v>
      </c>
      <c r="B123" s="7">
        <v>0.87060925793599253</v>
      </c>
      <c r="C123" s="28">
        <v>6581.5083737134719</v>
      </c>
      <c r="D123" s="28">
        <v>7559.6581517139648</v>
      </c>
    </row>
    <row r="124" spans="1:4" x14ac:dyDescent="0.2">
      <c r="A124">
        <v>87</v>
      </c>
      <c r="B124" s="7">
        <v>0.84002306771006552</v>
      </c>
      <c r="C124" s="28">
        <v>5471.0079605516548</v>
      </c>
      <c r="D124" s="28">
        <v>6512.9258598407641</v>
      </c>
    </row>
    <row r="125" spans="1:4" x14ac:dyDescent="0.2">
      <c r="A125">
        <v>88</v>
      </c>
      <c r="B125" s="7">
        <v>0.6333988781942459</v>
      </c>
      <c r="C125" s="28">
        <v>8319.5789468274088</v>
      </c>
      <c r="D125" s="28">
        <v>13134.817937388301</v>
      </c>
    </row>
    <row r="126" spans="1:4" x14ac:dyDescent="0.2">
      <c r="A126">
        <v>89</v>
      </c>
      <c r="B126" s="7">
        <v>0.83994620289827804</v>
      </c>
      <c r="C126" s="28">
        <v>7914.3646164986385</v>
      </c>
      <c r="D126" s="28">
        <v>9422.4660926970228</v>
      </c>
    </row>
    <row r="127" spans="1:4" x14ac:dyDescent="0.2">
      <c r="A127">
        <v>90</v>
      </c>
      <c r="B127" s="7">
        <v>0.67402327809454565</v>
      </c>
      <c r="C127" s="28">
        <v>7921.8043033005451</v>
      </c>
      <c r="D127" s="28">
        <v>11753.012931089524</v>
      </c>
    </row>
    <row r="128" spans="1:4" x14ac:dyDescent="0.2">
      <c r="A128">
        <v>91</v>
      </c>
      <c r="B128" s="7">
        <v>0.87134139669876909</v>
      </c>
      <c r="C128" s="28">
        <v>7173.6800239607692</v>
      </c>
      <c r="D128" s="28">
        <v>8232.9154234373855</v>
      </c>
    </row>
    <row r="129" spans="1:4" x14ac:dyDescent="0.2">
      <c r="A129">
        <v>92</v>
      </c>
      <c r="B129" s="7">
        <v>0.86073493846059268</v>
      </c>
      <c r="C129" s="28">
        <v>5026.2888687507802</v>
      </c>
      <c r="D129" s="28">
        <v>5839.5315958013716</v>
      </c>
    </row>
    <row r="130" spans="1:4" x14ac:dyDescent="0.2">
      <c r="A130">
        <v>93</v>
      </c>
      <c r="B130" s="7">
        <v>0.79162640092036973</v>
      </c>
      <c r="C130" s="28">
        <v>6236.4617001044298</v>
      </c>
      <c r="D130" s="28">
        <v>7878.0365243677115</v>
      </c>
    </row>
    <row r="131" spans="1:4" x14ac:dyDescent="0.2">
      <c r="A131">
        <v>94</v>
      </c>
      <c r="B131" s="7">
        <v>0.91041119798786152</v>
      </c>
      <c r="C131" s="28">
        <v>7441.3885760147932</v>
      </c>
      <c r="D131" s="28">
        <v>8173.6566866283301</v>
      </c>
    </row>
    <row r="132" spans="1:4" x14ac:dyDescent="0.2">
      <c r="A132">
        <v>95</v>
      </c>
      <c r="B132" s="7">
        <v>1.289413298975786</v>
      </c>
      <c r="C132" s="28">
        <v>5579.080326638752</v>
      </c>
      <c r="D132" s="28">
        <v>4326.836345701071</v>
      </c>
    </row>
    <row r="133" spans="1:4" x14ac:dyDescent="0.2">
      <c r="A133">
        <v>96</v>
      </c>
      <c r="B133" s="7">
        <v>0.68269719279101793</v>
      </c>
      <c r="C133" s="28">
        <v>6904.6070668714328</v>
      </c>
      <c r="D133" s="28">
        <v>10113.718263061643</v>
      </c>
    </row>
    <row r="134" spans="1:4" x14ac:dyDescent="0.2">
      <c r="A134">
        <v>97</v>
      </c>
      <c r="B134" s="7">
        <v>0.63611519316981102</v>
      </c>
      <c r="C134" s="28">
        <v>6711.5084593668671</v>
      </c>
      <c r="D134" s="28">
        <v>10550.775286348537</v>
      </c>
    </row>
    <row r="135" spans="1:4" x14ac:dyDescent="0.2">
      <c r="A135">
        <v>98</v>
      </c>
      <c r="B135" s="7">
        <v>0.99822881193994473</v>
      </c>
      <c r="C135" s="28">
        <v>5902.9493039088939</v>
      </c>
      <c r="D135" s="28">
        <v>5913.4230882769052</v>
      </c>
    </row>
    <row r="136" spans="1:4" x14ac:dyDescent="0.2">
      <c r="A136">
        <v>99</v>
      </c>
      <c r="B136" s="7">
        <v>0.88251301858284847</v>
      </c>
      <c r="C136" s="28">
        <v>6043.5810938590503</v>
      </c>
      <c r="D136" s="28">
        <v>6848.1495078269963</v>
      </c>
    </row>
    <row r="137" spans="1:4" x14ac:dyDescent="0.2">
      <c r="A137">
        <v>100</v>
      </c>
      <c r="B137" s="7">
        <v>1.0401929947393134</v>
      </c>
      <c r="C137" s="28">
        <v>7001.7338931028899</v>
      </c>
      <c r="D137" s="28">
        <v>6731.1873166936875</v>
      </c>
    </row>
    <row r="138" spans="1:4" x14ac:dyDescent="0.2">
      <c r="A138">
        <v>101</v>
      </c>
      <c r="B138" s="7">
        <v>0.88390259266707094</v>
      </c>
      <c r="C138" s="28">
        <v>7917.4016238834447</v>
      </c>
      <c r="D138" s="28">
        <v>8957.3236797435184</v>
      </c>
    </row>
    <row r="139" spans="1:4" x14ac:dyDescent="0.2">
      <c r="A139">
        <v>102</v>
      </c>
      <c r="B139" s="7">
        <v>0.89052021417968419</v>
      </c>
      <c r="C139" s="28">
        <v>5581.4986795181685</v>
      </c>
      <c r="D139" s="28">
        <v>6267.6833053808314</v>
      </c>
    </row>
    <row r="140" spans="1:4" x14ac:dyDescent="0.2">
      <c r="A140">
        <v>103</v>
      </c>
      <c r="B140" s="7">
        <v>0.83605412761761322</v>
      </c>
      <c r="C140" s="28">
        <v>5941.0249508395291</v>
      </c>
      <c r="D140" s="28">
        <v>7106.0290890122615</v>
      </c>
    </row>
    <row r="141" spans="1:4" x14ac:dyDescent="0.2">
      <c r="A141">
        <v>104</v>
      </c>
      <c r="B141" s="7">
        <v>0.96028668121927474</v>
      </c>
      <c r="C141" s="28">
        <v>4490.1445543756217</v>
      </c>
      <c r="D141" s="28">
        <v>4675.8375828710768</v>
      </c>
    </row>
    <row r="142" spans="1:4" x14ac:dyDescent="0.2">
      <c r="A142">
        <v>105</v>
      </c>
      <c r="B142" s="7">
        <v>0.74793402991522662</v>
      </c>
      <c r="C142" s="28">
        <v>8231.2815637324529</v>
      </c>
      <c r="D142" s="28">
        <v>11005.357738122189</v>
      </c>
    </row>
    <row r="143" spans="1:4" x14ac:dyDescent="0.2">
      <c r="A143">
        <v>106</v>
      </c>
      <c r="B143" s="7">
        <v>0.92205534333576811</v>
      </c>
      <c r="C143" s="28">
        <v>6210.4278288745836</v>
      </c>
      <c r="D143" s="28">
        <v>6735.4176446793226</v>
      </c>
    </row>
    <row r="144" spans="1:4" x14ac:dyDescent="0.2">
      <c r="A144">
        <v>107</v>
      </c>
      <c r="B144" s="7">
        <v>0.83559154529735657</v>
      </c>
      <c r="C144" s="28">
        <v>5737.7581790468867</v>
      </c>
      <c r="D144" s="28">
        <v>6866.7020523825759</v>
      </c>
    </row>
    <row r="145" spans="1:4" x14ac:dyDescent="0.2">
      <c r="A145">
        <v>108</v>
      </c>
      <c r="B145" s="7">
        <v>0.61880780125318324</v>
      </c>
      <c r="C145" s="28">
        <v>5916.3253478527258</v>
      </c>
      <c r="D145" s="28">
        <v>9560.8447984515315</v>
      </c>
    </row>
    <row r="146" spans="1:4" x14ac:dyDescent="0.2">
      <c r="A146">
        <v>109</v>
      </c>
      <c r="B146" s="7">
        <v>0.78673372559361709</v>
      </c>
      <c r="C146" s="28">
        <v>7090.8480861847311</v>
      </c>
      <c r="D146" s="28">
        <v>9013.0216304562855</v>
      </c>
    </row>
    <row r="147" spans="1:4" x14ac:dyDescent="0.2">
      <c r="A147">
        <v>110</v>
      </c>
      <c r="B147" s="7">
        <v>0.72443977188839082</v>
      </c>
      <c r="C147" s="28">
        <v>7059.7859127696356</v>
      </c>
      <c r="D147" s="28">
        <v>9745.16610865656</v>
      </c>
    </row>
    <row r="148" spans="1:4" x14ac:dyDescent="0.2">
      <c r="A148">
        <v>111</v>
      </c>
      <c r="B148" s="7">
        <v>0.75782127673972699</v>
      </c>
      <c r="C148" s="28">
        <v>7189.3805684797553</v>
      </c>
      <c r="D148" s="28">
        <v>9486.9077830721053</v>
      </c>
    </row>
    <row r="149" spans="1:4" x14ac:dyDescent="0.2">
      <c r="A149">
        <v>112</v>
      </c>
      <c r="B149" s="7">
        <v>0.78116554793870918</v>
      </c>
      <c r="C149" s="28">
        <v>7185.7809477897563</v>
      </c>
      <c r="D149" s="28">
        <v>9198.7939902766393</v>
      </c>
    </row>
    <row r="150" spans="1:4" x14ac:dyDescent="0.2">
      <c r="A150">
        <v>113</v>
      </c>
      <c r="B150" s="7">
        <v>0.76876346811807394</v>
      </c>
      <c r="C150" s="28">
        <v>5987.4259301832881</v>
      </c>
      <c r="D150" s="28">
        <v>7788.3850865604381</v>
      </c>
    </row>
    <row r="151" spans="1:4" x14ac:dyDescent="0.2">
      <c r="A151">
        <v>114</v>
      </c>
      <c r="B151" s="7">
        <v>1.0023032301316546</v>
      </c>
      <c r="C151" s="28">
        <v>5246.7527702358002</v>
      </c>
      <c r="D151" s="28">
        <v>5234.6960605391132</v>
      </c>
    </row>
    <row r="152" spans="1:4" x14ac:dyDescent="0.2">
      <c r="A152">
        <v>115</v>
      </c>
      <c r="B152" s="7">
        <v>0.90183041026204513</v>
      </c>
      <c r="C152" s="28">
        <v>7336.8449895707563</v>
      </c>
      <c r="D152" s="28">
        <v>8135.5040882230696</v>
      </c>
    </row>
    <row r="153" spans="1:4" x14ac:dyDescent="0.2">
      <c r="A153">
        <v>116</v>
      </c>
      <c r="B153" s="7">
        <v>0.7026617263413133</v>
      </c>
      <c r="C153" s="28">
        <v>5538.1403937117575</v>
      </c>
      <c r="D153" s="28">
        <v>7881.6593904271404</v>
      </c>
    </row>
    <row r="154" spans="1:4" x14ac:dyDescent="0.2">
      <c r="A154">
        <v>117</v>
      </c>
      <c r="B154" s="7">
        <v>0.66759621899931787</v>
      </c>
      <c r="C154" s="28">
        <v>6396.7600911384225</v>
      </c>
      <c r="D154" s="28">
        <v>9581.7799877997186</v>
      </c>
    </row>
    <row r="155" spans="1:4" x14ac:dyDescent="0.2">
      <c r="A155">
        <v>118</v>
      </c>
      <c r="B155" s="7">
        <v>0.90624819554959757</v>
      </c>
      <c r="C155" s="28">
        <v>7679.1132377666599</v>
      </c>
      <c r="D155" s="28">
        <v>8473.5211341409995</v>
      </c>
    </row>
    <row r="156" spans="1:4" x14ac:dyDescent="0.2">
      <c r="A156">
        <v>119</v>
      </c>
      <c r="B156" s="7">
        <v>1.3268694688563265</v>
      </c>
      <c r="C156" s="28">
        <v>6564.2389930749623</v>
      </c>
      <c r="D156" s="28">
        <v>4947.1625861833272</v>
      </c>
    </row>
    <row r="157" spans="1:4" x14ac:dyDescent="0.2">
      <c r="A157">
        <v>120</v>
      </c>
      <c r="B157" s="7">
        <v>0.66409644377295329</v>
      </c>
      <c r="C157" s="28">
        <v>8605.0781659123277</v>
      </c>
      <c r="D157" s="28">
        <v>12957.573025122691</v>
      </c>
    </row>
    <row r="158" spans="1:4" x14ac:dyDescent="0.2">
      <c r="A158">
        <v>121</v>
      </c>
      <c r="B158" s="35">
        <v>0.86876798162456303</v>
      </c>
      <c r="C158" s="36">
        <v>4895.0595856870077</v>
      </c>
      <c r="D158" s="36">
        <v>5634.4843378475261</v>
      </c>
    </row>
    <row r="159" spans="1:4" x14ac:dyDescent="0.2">
      <c r="A159">
        <v>122</v>
      </c>
      <c r="B159" s="7">
        <v>0.81433685563346536</v>
      </c>
      <c r="C159" s="28">
        <v>5188.3897431126134</v>
      </c>
      <c r="D159" s="28">
        <v>6371.3065511158911</v>
      </c>
    </row>
    <row r="160" spans="1:4" x14ac:dyDescent="0.2">
      <c r="A160">
        <v>123</v>
      </c>
      <c r="B160" s="7">
        <v>0.83864336520204041</v>
      </c>
      <c r="C160" s="28">
        <v>7412.8283592954067</v>
      </c>
      <c r="D160" s="28">
        <v>8839.0711318744616</v>
      </c>
    </row>
    <row r="161" spans="1:4" x14ac:dyDescent="0.2">
      <c r="A161">
        <v>124</v>
      </c>
      <c r="B161" s="35">
        <v>0.69087432387187597</v>
      </c>
      <c r="C161" s="36">
        <v>7020.087478382995</v>
      </c>
      <c r="D161" s="36">
        <v>10161.164246255712</v>
      </c>
    </row>
    <row r="162" spans="1:4" x14ac:dyDescent="0.2">
      <c r="A162">
        <v>125</v>
      </c>
      <c r="B162" s="7">
        <v>0.86949947984308995</v>
      </c>
      <c r="C162" s="28">
        <v>7826.9260030331625</v>
      </c>
      <c r="D162" s="28">
        <v>9001.6454115022716</v>
      </c>
    </row>
    <row r="163" spans="1:4" x14ac:dyDescent="0.2">
      <c r="A163">
        <v>126</v>
      </c>
      <c r="B163" s="7">
        <v>0.90473444243666457</v>
      </c>
      <c r="C163" s="28">
        <v>6863.5303629903901</v>
      </c>
      <c r="D163" s="28">
        <v>7586.2375091029735</v>
      </c>
    </row>
    <row r="164" spans="1:4" x14ac:dyDescent="0.2">
      <c r="A164">
        <v>127</v>
      </c>
      <c r="B164" s="7">
        <v>0.94213277358199576</v>
      </c>
      <c r="C164" s="28">
        <v>5440.0224340942987</v>
      </c>
      <c r="D164" s="28">
        <v>5774.156877497524</v>
      </c>
    </row>
    <row r="165" spans="1:4" x14ac:dyDescent="0.2">
      <c r="A165">
        <v>128</v>
      </c>
      <c r="B165" s="7">
        <v>0.74651363674719029</v>
      </c>
      <c r="C165" s="28">
        <v>7448.2634378692346</v>
      </c>
      <c r="D165" s="28">
        <v>9977.3976940646535</v>
      </c>
    </row>
    <row r="166" spans="1:4" x14ac:dyDescent="0.2">
      <c r="A166">
        <v>129</v>
      </c>
      <c r="B166" s="7">
        <v>1.2050715155755469</v>
      </c>
      <c r="C166" s="28">
        <v>6395.6494535105157</v>
      </c>
      <c r="D166" s="28">
        <v>5307.2779257054535</v>
      </c>
    </row>
    <row r="167" spans="1:4" x14ac:dyDescent="0.2">
      <c r="A167">
        <v>130</v>
      </c>
      <c r="B167" s="7">
        <v>0.79692415513795911</v>
      </c>
      <c r="C167" s="28">
        <v>8320.4751721440625</v>
      </c>
      <c r="D167" s="28">
        <v>10440.736572608554</v>
      </c>
    </row>
    <row r="168" spans="1:4" x14ac:dyDescent="0.2">
      <c r="A168">
        <v>131</v>
      </c>
      <c r="B168" s="7">
        <v>0.98891854193399009</v>
      </c>
      <c r="C168" s="28">
        <v>5044.6283834455753</v>
      </c>
      <c r="D168" s="28">
        <v>5101.1566368044723</v>
      </c>
    </row>
    <row r="169" spans="1:4" x14ac:dyDescent="0.2">
      <c r="A169">
        <v>132</v>
      </c>
      <c r="B169" s="7">
        <v>0.63701419224394495</v>
      </c>
      <c r="C169" s="28">
        <v>6788.5046897882085</v>
      </c>
      <c r="D169" s="28">
        <v>10656.755802998729</v>
      </c>
    </row>
    <row r="170" spans="1:4" x14ac:dyDescent="0.2">
      <c r="A170">
        <v>133</v>
      </c>
      <c r="B170" s="7">
        <v>0.81536221730952541</v>
      </c>
      <c r="C170" s="28">
        <v>8080.4479773573767</v>
      </c>
      <c r="D170" s="28">
        <v>9910.2555966116106</v>
      </c>
    </row>
    <row r="171" spans="1:4" x14ac:dyDescent="0.2">
      <c r="A171">
        <v>134</v>
      </c>
      <c r="B171" s="7">
        <v>0.91410409348888599</v>
      </c>
      <c r="C171" s="28">
        <v>6401.2053444771182</v>
      </c>
      <c r="D171" s="28">
        <v>7002.7094179673386</v>
      </c>
    </row>
    <row r="172" spans="1:4" x14ac:dyDescent="0.2">
      <c r="A172">
        <v>135</v>
      </c>
      <c r="B172" s="7">
        <v>0.76641753514081579</v>
      </c>
      <c r="C172" s="28">
        <v>5955.0202530770548</v>
      </c>
      <c r="D172" s="28">
        <v>7769.9425966068538</v>
      </c>
    </row>
    <row r="173" spans="1:4" x14ac:dyDescent="0.2">
      <c r="A173">
        <v>136</v>
      </c>
      <c r="B173" s="7">
        <v>0.58171176694565041</v>
      </c>
      <c r="C173" s="28">
        <v>8221.8715549127555</v>
      </c>
      <c r="D173" s="28">
        <v>14133.926838170575</v>
      </c>
    </row>
    <row r="174" spans="1:4" x14ac:dyDescent="0.2">
      <c r="A174">
        <v>137</v>
      </c>
      <c r="B174" s="7">
        <v>0.82569743398116913</v>
      </c>
      <c r="C174" s="28">
        <v>7010.9220239340029</v>
      </c>
      <c r="D174" s="28">
        <v>8490.9093033391873</v>
      </c>
    </row>
    <row r="175" spans="1:4" x14ac:dyDescent="0.2">
      <c r="A175">
        <v>138</v>
      </c>
      <c r="B175" s="7">
        <v>0.63217189658264683</v>
      </c>
      <c r="C175" s="28">
        <v>5647.7903782858575</v>
      </c>
      <c r="D175" s="28">
        <v>8933.9472520311501</v>
      </c>
    </row>
    <row r="176" spans="1:4" x14ac:dyDescent="0.2">
      <c r="A176">
        <v>139</v>
      </c>
      <c r="B176" s="7">
        <v>1.1178508046486035</v>
      </c>
      <c r="C176" s="28">
        <v>7319.1745909496458</v>
      </c>
      <c r="D176" s="28">
        <v>6547.541550726377</v>
      </c>
    </row>
    <row r="177" spans="1:4" x14ac:dyDescent="0.2">
      <c r="A177">
        <v>140</v>
      </c>
      <c r="B177" s="7">
        <v>0.99873522582470642</v>
      </c>
      <c r="C177" s="28">
        <v>5316.0141020232986</v>
      </c>
      <c r="D177" s="28">
        <v>5322.7461739257224</v>
      </c>
    </row>
    <row r="178" spans="1:4" x14ac:dyDescent="0.2">
      <c r="A178">
        <v>141</v>
      </c>
      <c r="B178" s="7">
        <v>0.98477908163487715</v>
      </c>
      <c r="C178" s="28">
        <v>6526.9706216861869</v>
      </c>
      <c r="D178" s="28">
        <v>6627.8526254339822</v>
      </c>
    </row>
    <row r="179" spans="1:4" x14ac:dyDescent="0.2">
      <c r="A179">
        <v>142</v>
      </c>
      <c r="B179" s="7">
        <v>0.82647823137887322</v>
      </c>
      <c r="C179" s="28">
        <v>6115.6081284637148</v>
      </c>
      <c r="D179" s="28">
        <v>7399.5997671476534</v>
      </c>
    </row>
    <row r="180" spans="1:4" x14ac:dyDescent="0.2">
      <c r="A180">
        <v>143</v>
      </c>
      <c r="B180" s="7">
        <v>0.83004397816871833</v>
      </c>
      <c r="C180" s="28">
        <v>6850.9405779809276</v>
      </c>
      <c r="D180" s="28">
        <v>8253.7079458076332</v>
      </c>
    </row>
    <row r="181" spans="1:4" x14ac:dyDescent="0.2">
      <c r="A181">
        <v>144</v>
      </c>
      <c r="B181" s="7">
        <v>0.73877653938714438</v>
      </c>
      <c r="C181" s="28">
        <v>5551.5410820906254</v>
      </c>
      <c r="D181" s="28">
        <v>7514.5064659144873</v>
      </c>
    </row>
    <row r="182" spans="1:4" x14ac:dyDescent="0.2">
      <c r="A182">
        <v>145</v>
      </c>
      <c r="B182" s="7">
        <v>0.82371506858702759</v>
      </c>
      <c r="C182" s="28">
        <v>7007.6198487754082</v>
      </c>
      <c r="D182" s="28">
        <v>8507.334776327496</v>
      </c>
    </row>
    <row r="183" spans="1:4" x14ac:dyDescent="0.2">
      <c r="A183">
        <v>146</v>
      </c>
      <c r="B183" s="7">
        <v>1.1103881321625781</v>
      </c>
      <c r="C183" s="28">
        <v>6383.3406797421958</v>
      </c>
      <c r="D183" s="28">
        <v>5748.7472126616485</v>
      </c>
    </row>
    <row r="184" spans="1:4" x14ac:dyDescent="0.2">
      <c r="A184">
        <v>147</v>
      </c>
      <c r="B184" s="7">
        <v>0.84996374229870142</v>
      </c>
      <c r="C184" s="28">
        <v>6082.2927822092515</v>
      </c>
      <c r="D184" s="28">
        <v>7155.943812097059</v>
      </c>
    </row>
    <row r="185" spans="1:4" x14ac:dyDescent="0.2">
      <c r="A185">
        <v>148</v>
      </c>
      <c r="B185" s="7">
        <v>0.95511753251931886</v>
      </c>
      <c r="C185" s="28">
        <v>6715.1556893715369</v>
      </c>
      <c r="D185" s="28">
        <v>7030.7113635103451</v>
      </c>
    </row>
    <row r="186" spans="1:4" x14ac:dyDescent="0.2">
      <c r="A186">
        <v>149</v>
      </c>
      <c r="B186" s="7">
        <v>0.78527410208272208</v>
      </c>
      <c r="C186" s="28">
        <v>5311.2410418874733</v>
      </c>
      <c r="D186" s="28">
        <v>6763.5504950448221</v>
      </c>
    </row>
    <row r="187" spans="1:4" x14ac:dyDescent="0.2">
      <c r="A187">
        <v>150</v>
      </c>
      <c r="B187" s="7">
        <v>0.64609802595268562</v>
      </c>
      <c r="C187" s="28">
        <v>7095.952202431059</v>
      </c>
      <c r="D187" s="28">
        <v>10982.77957430364</v>
      </c>
    </row>
    <row r="188" spans="1:4" x14ac:dyDescent="0.2">
      <c r="A188">
        <v>151</v>
      </c>
      <c r="B188" s="7">
        <v>0.95709441378586479</v>
      </c>
      <c r="C188" s="28">
        <v>6764.2044965702207</v>
      </c>
      <c r="D188" s="28">
        <v>7067.4370251664723</v>
      </c>
    </row>
    <row r="189" spans="1:4" x14ac:dyDescent="0.2">
      <c r="A189">
        <v>152</v>
      </c>
      <c r="B189" s="7">
        <v>1.1759890240140445</v>
      </c>
      <c r="C189" s="28">
        <v>5843.8639705563473</v>
      </c>
      <c r="D189" s="28">
        <v>4969.3184640527361</v>
      </c>
    </row>
    <row r="190" spans="1:4" x14ac:dyDescent="0.2">
      <c r="A190">
        <v>153</v>
      </c>
      <c r="B190" s="7">
        <v>0.51667309531875638</v>
      </c>
      <c r="C190" s="28">
        <v>5081.3312886507829</v>
      </c>
      <c r="D190" s="28">
        <v>9834.7123833028418</v>
      </c>
    </row>
    <row r="191" spans="1:4" x14ac:dyDescent="0.2">
      <c r="A191">
        <v>154</v>
      </c>
      <c r="B191" s="7">
        <v>0.65885793620451594</v>
      </c>
      <c r="C191" s="28">
        <v>9021.7282486534841</v>
      </c>
      <c r="D191" s="28">
        <v>13692.97955280765</v>
      </c>
    </row>
    <row r="192" spans="1:4" x14ac:dyDescent="0.2">
      <c r="A192">
        <v>155</v>
      </c>
      <c r="B192" s="7">
        <v>0.82044521848882113</v>
      </c>
      <c r="C192" s="28">
        <v>6841.6287408688695</v>
      </c>
      <c r="D192" s="28">
        <v>8338.9220714461262</v>
      </c>
    </row>
    <row r="193" spans="1:4" x14ac:dyDescent="0.2">
      <c r="A193">
        <v>156</v>
      </c>
      <c r="B193" s="7">
        <v>1.1895279098601321</v>
      </c>
      <c r="C193" s="28">
        <v>5298.9744482881833</v>
      </c>
      <c r="D193" s="28">
        <v>4454.6869429160779</v>
      </c>
    </row>
    <row r="194" spans="1:4" x14ac:dyDescent="0.2">
      <c r="A194">
        <v>157</v>
      </c>
      <c r="B194" s="7">
        <v>0.72651203893910665</v>
      </c>
      <c r="C194" s="28">
        <v>6030.5689553902321</v>
      </c>
      <c r="D194" s="28">
        <v>8300.7144165104328</v>
      </c>
    </row>
    <row r="195" spans="1:4" x14ac:dyDescent="0.2">
      <c r="A195">
        <v>158</v>
      </c>
      <c r="B195" s="7">
        <v>0.84880772397952775</v>
      </c>
      <c r="C195" s="28">
        <v>6451.2206215747756</v>
      </c>
      <c r="D195" s="28">
        <v>7600.3321356797305</v>
      </c>
    </row>
    <row r="196" spans="1:4" x14ac:dyDescent="0.2">
      <c r="A196">
        <v>159</v>
      </c>
      <c r="B196" s="7">
        <v>0.7561947740487982</v>
      </c>
      <c r="C196" s="28">
        <v>7002.217221918615</v>
      </c>
      <c r="D196" s="28">
        <v>9259.8064178988279</v>
      </c>
    </row>
    <row r="197" spans="1:4" x14ac:dyDescent="0.2">
      <c r="A197">
        <v>160</v>
      </c>
      <c r="B197" s="7">
        <v>0.84489526345319987</v>
      </c>
      <c r="C197" s="28">
        <v>7082.3338924129494</v>
      </c>
      <c r="D197" s="28">
        <v>8382.499226550879</v>
      </c>
    </row>
    <row r="198" spans="1:4" x14ac:dyDescent="0.2">
      <c r="A198">
        <v>161</v>
      </c>
      <c r="B198" s="7">
        <v>0.8391207581658584</v>
      </c>
      <c r="C198" s="28">
        <v>6614.1982037030812</v>
      </c>
      <c r="D198" s="28">
        <v>7882.2960096474408</v>
      </c>
    </row>
    <row r="199" spans="1:4" x14ac:dyDescent="0.2">
      <c r="A199">
        <v>162</v>
      </c>
      <c r="B199" s="7">
        <v>0.91274959261809574</v>
      </c>
      <c r="C199" s="28">
        <v>6401.9109500494451</v>
      </c>
      <c r="D199" s="28">
        <v>7013.8743438783149</v>
      </c>
    </row>
    <row r="200" spans="1:4" x14ac:dyDescent="0.2">
      <c r="A200">
        <v>163</v>
      </c>
      <c r="B200" s="7">
        <v>0.77441743168105326</v>
      </c>
      <c r="C200" s="28">
        <v>7125.0534219469282</v>
      </c>
      <c r="D200" s="28">
        <v>9200.5333692971526</v>
      </c>
    </row>
    <row r="201" spans="1:4" x14ac:dyDescent="0.2">
      <c r="A201">
        <v>164</v>
      </c>
      <c r="B201" s="7">
        <v>0.69256385145497923</v>
      </c>
      <c r="C201" s="28">
        <v>7129.4348005908905</v>
      </c>
      <c r="D201" s="28">
        <v>10294.263533409881</v>
      </c>
    </row>
    <row r="202" spans="1:4" x14ac:dyDescent="0.2">
      <c r="A202">
        <v>165</v>
      </c>
      <c r="B202" s="7">
        <v>0.79983937684519368</v>
      </c>
      <c r="C202" s="28">
        <v>6637.2630694134004</v>
      </c>
      <c r="D202" s="28">
        <v>8298.2449496207046</v>
      </c>
    </row>
    <row r="203" spans="1:4" x14ac:dyDescent="0.2">
      <c r="A203">
        <v>166</v>
      </c>
      <c r="B203" s="7">
        <v>0.87471556190756949</v>
      </c>
      <c r="C203" s="28">
        <v>8101.5433996830088</v>
      </c>
      <c r="D203" s="28">
        <v>9261.9175335297077</v>
      </c>
    </row>
    <row r="204" spans="1:4" x14ac:dyDescent="0.2">
      <c r="A204">
        <v>167</v>
      </c>
      <c r="B204" s="7">
        <v>0.81188397538045276</v>
      </c>
      <c r="C204" s="28">
        <v>5094.4663712954716</v>
      </c>
      <c r="D204" s="28">
        <v>6274.8699639110137</v>
      </c>
    </row>
    <row r="205" spans="1:4" x14ac:dyDescent="0.2">
      <c r="A205">
        <v>168</v>
      </c>
      <c r="B205" s="7">
        <v>0.71636016388818824</v>
      </c>
      <c r="C205" s="28">
        <v>6936.2278809500185</v>
      </c>
      <c r="D205" s="28">
        <v>9682.5985455448172</v>
      </c>
    </row>
    <row r="206" spans="1:4" x14ac:dyDescent="0.2">
      <c r="A206">
        <v>169</v>
      </c>
      <c r="B206" s="7">
        <v>0.81866547158254743</v>
      </c>
      <c r="C206" s="28">
        <v>6471.6471572961818</v>
      </c>
      <c r="D206" s="28">
        <v>7905.1180023336728</v>
      </c>
    </row>
    <row r="207" spans="1:4" x14ac:dyDescent="0.2">
      <c r="A207">
        <v>170</v>
      </c>
      <c r="B207" s="7">
        <v>0.75906087536090538</v>
      </c>
      <c r="C207" s="28">
        <v>7513.6190458135679</v>
      </c>
      <c r="D207" s="28">
        <v>9898.5724198222179</v>
      </c>
    </row>
    <row r="208" spans="1:4" x14ac:dyDescent="0.2">
      <c r="A208">
        <v>171</v>
      </c>
      <c r="B208" s="7">
        <v>0.6454862069817322</v>
      </c>
      <c r="C208" s="28">
        <v>7683.4345403626485</v>
      </c>
      <c r="D208" s="28">
        <v>11903.328773344489</v>
      </c>
    </row>
    <row r="209" spans="1:4" x14ac:dyDescent="0.2">
      <c r="A209">
        <v>172</v>
      </c>
      <c r="B209" s="7">
        <v>0.90418876667316184</v>
      </c>
      <c r="C209" s="28">
        <v>6458.8615740917558</v>
      </c>
      <c r="D209" s="28">
        <v>7143.2667736586118</v>
      </c>
    </row>
    <row r="210" spans="1:4" x14ac:dyDescent="0.2">
      <c r="A210">
        <v>173</v>
      </c>
      <c r="B210" s="7">
        <v>0.64721009359262993</v>
      </c>
      <c r="C210" s="28">
        <v>7381.4751856723469</v>
      </c>
      <c r="D210" s="28">
        <v>11405.068089556758</v>
      </c>
    </row>
    <row r="211" spans="1:4" x14ac:dyDescent="0.2">
      <c r="A211">
        <v>174</v>
      </c>
      <c r="B211" s="7">
        <v>0.90841036083037174</v>
      </c>
      <c r="C211" s="28">
        <v>7535.7331618621465</v>
      </c>
      <c r="D211" s="28">
        <v>8295.5165273255843</v>
      </c>
    </row>
    <row r="212" spans="1:4" x14ac:dyDescent="0.2">
      <c r="A212">
        <v>175</v>
      </c>
      <c r="B212" s="7">
        <v>1.1018602259210519</v>
      </c>
      <c r="C212" s="28">
        <v>6525.805264539129</v>
      </c>
      <c r="D212" s="28">
        <v>5922.5345565805928</v>
      </c>
    </row>
    <row r="213" spans="1:4" x14ac:dyDescent="0.2">
      <c r="A213">
        <v>176</v>
      </c>
      <c r="B213" s="7">
        <v>0.94049452270992617</v>
      </c>
      <c r="C213" s="28">
        <v>7179.2773565195448</v>
      </c>
      <c r="D213" s="28">
        <v>7633.513203068198</v>
      </c>
    </row>
    <row r="214" spans="1:4" x14ac:dyDescent="0.2">
      <c r="A214">
        <v>177</v>
      </c>
      <c r="B214" s="7">
        <v>0.71350112591736092</v>
      </c>
      <c r="C214" s="28">
        <v>8869.0903280728689</v>
      </c>
      <c r="D214" s="28">
        <v>12430.380283800847</v>
      </c>
    </row>
    <row r="215" spans="1:4" x14ac:dyDescent="0.2">
      <c r="A215">
        <v>178</v>
      </c>
      <c r="B215" s="35">
        <v>0.79920852349627314</v>
      </c>
      <c r="C215" s="36">
        <v>5595.3071816209103</v>
      </c>
      <c r="D215" s="36">
        <v>7001.0604455809489</v>
      </c>
    </row>
    <row r="216" spans="1:4" x14ac:dyDescent="0.2">
      <c r="A216">
        <v>179</v>
      </c>
      <c r="B216" s="7">
        <v>1.1059035747672956</v>
      </c>
      <c r="C216" s="28">
        <v>7706.7840164027839</v>
      </c>
      <c r="D216" s="28">
        <v>6968.7667100854123</v>
      </c>
    </row>
    <row r="217" spans="1:4" x14ac:dyDescent="0.2">
      <c r="A217">
        <v>180</v>
      </c>
      <c r="B217" s="7">
        <v>1.0050352742956825</v>
      </c>
      <c r="C217" s="28">
        <v>6264.0604302614138</v>
      </c>
      <c r="D217" s="28">
        <v>6232.6771910082434</v>
      </c>
    </row>
    <row r="218" spans="1:4" x14ac:dyDescent="0.2">
      <c r="A218">
        <v>181</v>
      </c>
      <c r="B218" s="35">
        <v>1.0627815308841653</v>
      </c>
      <c r="C218" s="36">
        <v>4135.1050112230187</v>
      </c>
      <c r="D218" s="36">
        <v>3890.832585115475</v>
      </c>
    </row>
    <row r="219" spans="1:4" x14ac:dyDescent="0.2">
      <c r="A219">
        <v>182</v>
      </c>
      <c r="B219" s="7">
        <v>1.0058678477554093</v>
      </c>
      <c r="C219" s="28">
        <v>5777.9588190766426</v>
      </c>
      <c r="D219" s="28">
        <v>5744.2524204050642</v>
      </c>
    </row>
    <row r="220" spans="1:4" x14ac:dyDescent="0.2">
      <c r="A220">
        <v>183</v>
      </c>
      <c r="B220" s="7">
        <v>0.72161883323107201</v>
      </c>
      <c r="C220" s="28">
        <v>8017.9013179620206</v>
      </c>
      <c r="D220" s="28">
        <v>11110.992325493507</v>
      </c>
    </row>
    <row r="221" spans="1:4" x14ac:dyDescent="0.2">
      <c r="A221">
        <v>184</v>
      </c>
      <c r="B221" s="7">
        <v>0.70613657545735808</v>
      </c>
      <c r="C221" s="28">
        <v>7714.1198656529559</v>
      </c>
      <c r="D221" s="28">
        <v>10924.402068617665</v>
      </c>
    </row>
    <row r="222" spans="1:4" x14ac:dyDescent="0.2">
      <c r="A222">
        <v>185</v>
      </c>
      <c r="B222" s="7">
        <v>0.83828429097957802</v>
      </c>
      <c r="C222" s="28">
        <v>6783.2047723373653</v>
      </c>
      <c r="D222" s="28">
        <v>8091.7713063796582</v>
      </c>
    </row>
    <row r="223" spans="1:4" x14ac:dyDescent="0.2">
      <c r="A223">
        <v>186</v>
      </c>
      <c r="B223" s="7">
        <v>1.1686287728149232</v>
      </c>
      <c r="C223" s="28">
        <v>6050.03712742057</v>
      </c>
      <c r="D223" s="28">
        <v>5177.03933717771</v>
      </c>
    </row>
    <row r="224" spans="1:4" x14ac:dyDescent="0.2">
      <c r="A224">
        <v>187</v>
      </c>
      <c r="B224" s="7">
        <v>1.0104605556636068</v>
      </c>
      <c r="C224" s="28">
        <v>4822.9202822703555</v>
      </c>
      <c r="D224" s="28">
        <v>4772.9921323875578</v>
      </c>
    </row>
    <row r="225" spans="1:4" x14ac:dyDescent="0.2">
      <c r="A225">
        <v>188</v>
      </c>
      <c r="B225" s="7">
        <v>0.78682015456243004</v>
      </c>
      <c r="C225" s="28">
        <v>6575.9334070372333</v>
      </c>
      <c r="D225" s="28">
        <v>8357.6067147063241</v>
      </c>
    </row>
    <row r="226" spans="1:4" x14ac:dyDescent="0.2">
      <c r="A226">
        <v>189</v>
      </c>
      <c r="B226" s="7">
        <v>0.74356006069247016</v>
      </c>
      <c r="C226" s="28">
        <v>8273.7316912851347</v>
      </c>
      <c r="D226" s="28">
        <v>11127.186798575343</v>
      </c>
    </row>
    <row r="227" spans="1:4" x14ac:dyDescent="0.2">
      <c r="A227">
        <v>190</v>
      </c>
      <c r="B227" s="7">
        <v>0.86757789135638497</v>
      </c>
      <c r="C227" s="29">
        <v>7375.2599245781939</v>
      </c>
      <c r="D227" s="28">
        <v>8500.9772587076841</v>
      </c>
    </row>
    <row r="228" spans="1:4" x14ac:dyDescent="0.2">
      <c r="A228">
        <v>191</v>
      </c>
      <c r="B228" s="7">
        <v>0.73182462860173558</v>
      </c>
      <c r="C228" s="28">
        <v>6541.9879149211829</v>
      </c>
      <c r="D228" s="28">
        <v>8939.2836196571643</v>
      </c>
    </row>
    <row r="229" spans="1:4" x14ac:dyDescent="0.2">
      <c r="A229">
        <v>192</v>
      </c>
      <c r="B229" s="7">
        <v>1.0262082167631572</v>
      </c>
      <c r="C229" s="28">
        <v>7192.0438357179682</v>
      </c>
      <c r="D229" s="28">
        <v>7008.3670333521113</v>
      </c>
    </row>
    <row r="230" spans="1:4" x14ac:dyDescent="0.2">
      <c r="A230">
        <v>193</v>
      </c>
      <c r="B230" s="35">
        <v>1.0112136217512493</v>
      </c>
      <c r="C230" s="36">
        <v>5149.6800210966285</v>
      </c>
      <c r="D230" s="36">
        <v>5092.5738244885015</v>
      </c>
    </row>
    <row r="231" spans="1:4" x14ac:dyDescent="0.2">
      <c r="A231">
        <v>194</v>
      </c>
      <c r="B231" s="7">
        <v>0.79077190858280488</v>
      </c>
      <c r="C231" s="28">
        <v>9062.6323026990467</v>
      </c>
      <c r="D231" s="28">
        <v>11460.488421927879</v>
      </c>
    </row>
    <row r="232" spans="1:4" x14ac:dyDescent="0.2">
      <c r="A232">
        <v>195</v>
      </c>
      <c r="B232" s="7">
        <v>1.0549953088207316</v>
      </c>
      <c r="C232" s="28">
        <v>6192.0393539257748</v>
      </c>
      <c r="D232" s="28">
        <v>5869.2577134273752</v>
      </c>
    </row>
    <row r="233" spans="1:4" x14ac:dyDescent="0.2">
      <c r="A233">
        <v>196</v>
      </c>
      <c r="B233" s="7">
        <v>0.89118708495094268</v>
      </c>
      <c r="C233" s="28">
        <v>5813.9508872200877</v>
      </c>
      <c r="D233" s="28">
        <v>6523.8275839019025</v>
      </c>
    </row>
    <row r="234" spans="1:4" x14ac:dyDescent="0.2">
      <c r="A234">
        <v>197</v>
      </c>
      <c r="B234" s="7">
        <v>0.56003775677850953</v>
      </c>
      <c r="C234" s="28">
        <v>5031.5290137714528</v>
      </c>
      <c r="D234" s="28">
        <v>8984.2674942385765</v>
      </c>
    </row>
    <row r="235" spans="1:4" x14ac:dyDescent="0.2">
      <c r="A235">
        <v>198</v>
      </c>
      <c r="B235" s="7">
        <v>0.95904689791983966</v>
      </c>
      <c r="C235" s="28">
        <v>5320.1528759481607</v>
      </c>
      <c r="D235" s="28">
        <v>5547.3333863938287</v>
      </c>
    </row>
    <row r="236" spans="1:4" x14ac:dyDescent="0.2">
      <c r="A236">
        <v>199</v>
      </c>
      <c r="B236" s="7">
        <v>0.68236588332892545</v>
      </c>
      <c r="C236" s="28">
        <v>7939.1964429866312</v>
      </c>
      <c r="D236" s="28">
        <v>11634.808593089709</v>
      </c>
    </row>
    <row r="237" spans="1:4" x14ac:dyDescent="0.2">
      <c r="A237">
        <v>200</v>
      </c>
      <c r="B237" s="7">
        <v>1.0439655229056886</v>
      </c>
      <c r="C237" s="28">
        <v>7081.4384300455167</v>
      </c>
      <c r="D237" s="28">
        <v>6783.2110109686555</v>
      </c>
    </row>
    <row r="238" spans="1:4" x14ac:dyDescent="0.2">
      <c r="A238">
        <v>201</v>
      </c>
      <c r="B238" s="7">
        <v>0.72045752123817408</v>
      </c>
      <c r="C238" s="28">
        <v>5474.5319808282165</v>
      </c>
      <c r="D238" s="28">
        <v>7598.688082844521</v>
      </c>
    </row>
    <row r="239" spans="1:4" x14ac:dyDescent="0.2">
      <c r="A239">
        <v>202</v>
      </c>
      <c r="B239" s="7">
        <v>0.86768249957769239</v>
      </c>
      <c r="C239" s="28">
        <v>6093.7329547406225</v>
      </c>
      <c r="D239" s="28">
        <v>7022.9985711438094</v>
      </c>
    </row>
    <row r="240" spans="1:4" x14ac:dyDescent="0.2">
      <c r="A240">
        <v>203</v>
      </c>
      <c r="B240" s="7">
        <v>0.91452453163181957</v>
      </c>
      <c r="C240" s="28">
        <v>7087.831862383613</v>
      </c>
      <c r="D240" s="28">
        <v>7750.2916731348205</v>
      </c>
    </row>
    <row r="241" spans="1:4" x14ac:dyDescent="0.2">
      <c r="A241">
        <v>204</v>
      </c>
      <c r="B241" s="7">
        <v>0.95253119054670776</v>
      </c>
      <c r="C241" s="28">
        <v>7256.6694131126042</v>
      </c>
      <c r="D241" s="28">
        <v>7618.3010962062244</v>
      </c>
    </row>
    <row r="242" spans="1:4" x14ac:dyDescent="0.2">
      <c r="A242">
        <v>205</v>
      </c>
      <c r="B242" s="7">
        <v>0.93010954345341368</v>
      </c>
      <c r="C242" s="28">
        <v>6599.3954002212267</v>
      </c>
      <c r="D242" s="28">
        <v>7095.2883417562416</v>
      </c>
    </row>
    <row r="243" spans="1:4" x14ac:dyDescent="0.2">
      <c r="A243">
        <v>206</v>
      </c>
      <c r="B243" s="7">
        <v>0.82913593008822062</v>
      </c>
      <c r="C243" s="28">
        <v>6976.0739320712382</v>
      </c>
      <c r="D243" s="28">
        <v>8413.6673842236942</v>
      </c>
    </row>
    <row r="244" spans="1:4" x14ac:dyDescent="0.2">
      <c r="A244">
        <v>207</v>
      </c>
      <c r="B244" s="7">
        <v>0.9598086646594437</v>
      </c>
      <c r="C244" s="28">
        <v>6414.016191722274</v>
      </c>
      <c r="D244" s="28">
        <v>6682.5987594080279</v>
      </c>
    </row>
    <row r="245" spans="1:4" x14ac:dyDescent="0.2">
      <c r="A245">
        <v>208</v>
      </c>
      <c r="B245" s="7">
        <v>0.73350140976626932</v>
      </c>
      <c r="C245" s="28">
        <v>6855.88797093635</v>
      </c>
      <c r="D245" s="28">
        <v>9346.7959020296676</v>
      </c>
    </row>
    <row r="246" spans="1:4" x14ac:dyDescent="0.2">
      <c r="A246">
        <v>209</v>
      </c>
      <c r="B246" s="7">
        <v>1.0098805527384593</v>
      </c>
      <c r="C246" s="28">
        <v>7946.2362689146794</v>
      </c>
      <c r="D246" s="28">
        <v>7868.4912263803244</v>
      </c>
    </row>
    <row r="247" spans="1:4" x14ac:dyDescent="0.2">
      <c r="A247">
        <v>210</v>
      </c>
      <c r="B247" s="7">
        <v>0.69779020867392028</v>
      </c>
      <c r="C247" s="28">
        <v>7566.2664246285622</v>
      </c>
      <c r="D247" s="28">
        <v>10843.182278248769</v>
      </c>
    </row>
    <row r="248" spans="1:4" x14ac:dyDescent="0.2">
      <c r="A248">
        <v>211</v>
      </c>
      <c r="B248" s="7">
        <v>1.1228189908174944</v>
      </c>
      <c r="C248" s="28">
        <v>6665.160609567527</v>
      </c>
      <c r="D248" s="28">
        <v>5936.0953671747238</v>
      </c>
    </row>
    <row r="249" spans="1:4" x14ac:dyDescent="0.2">
      <c r="A249">
        <v>212</v>
      </c>
      <c r="B249" s="7">
        <v>0.77840913047328542</v>
      </c>
      <c r="C249" s="28">
        <v>8000.310859048559</v>
      </c>
      <c r="D249" s="28">
        <v>10277.771092155921</v>
      </c>
    </row>
    <row r="250" spans="1:4" x14ac:dyDescent="0.2">
      <c r="A250">
        <v>213</v>
      </c>
      <c r="B250" s="7">
        <v>0.64378273933680763</v>
      </c>
      <c r="C250" s="28">
        <v>5146.7428083536433</v>
      </c>
      <c r="D250" s="28">
        <v>7994.5337050439675</v>
      </c>
    </row>
    <row r="251" spans="1:4" x14ac:dyDescent="0.2">
      <c r="A251">
        <v>214</v>
      </c>
      <c r="B251" s="7">
        <v>0.81547678222927011</v>
      </c>
      <c r="C251" s="28">
        <v>7626.9878174988862</v>
      </c>
      <c r="D251" s="28">
        <v>9352.7957922345486</v>
      </c>
    </row>
    <row r="252" spans="1:4" x14ac:dyDescent="0.2">
      <c r="A252">
        <v>215</v>
      </c>
      <c r="B252" s="7">
        <v>0.8396589229822542</v>
      </c>
      <c r="C252" s="28">
        <v>5737.4442243204248</v>
      </c>
      <c r="D252" s="28">
        <v>6833.0652688623704</v>
      </c>
    </row>
    <row r="253" spans="1:4" x14ac:dyDescent="0.2">
      <c r="A253">
        <v>216</v>
      </c>
      <c r="B253" s="7">
        <v>0.79415096351040937</v>
      </c>
      <c r="C253" s="28">
        <v>8273.2494907269574</v>
      </c>
      <c r="D253" s="28">
        <v>10417.72895943671</v>
      </c>
    </row>
    <row r="254" spans="1:4" x14ac:dyDescent="0.2">
      <c r="A254">
        <v>217</v>
      </c>
      <c r="B254" s="7">
        <v>0.80040048604394975</v>
      </c>
      <c r="C254" s="28">
        <v>8073.5657763514291</v>
      </c>
      <c r="D254" s="28">
        <v>10086.907638269615</v>
      </c>
    </row>
    <row r="255" spans="1:4" x14ac:dyDescent="0.2">
      <c r="A255">
        <v>218</v>
      </c>
      <c r="B255" s="7">
        <v>0.76328479654463699</v>
      </c>
      <c r="C255" s="28">
        <v>7506.8240076723378</v>
      </c>
      <c r="D255" s="28">
        <v>9834.8926136816317</v>
      </c>
    </row>
    <row r="256" spans="1:4" x14ac:dyDescent="0.2">
      <c r="A256">
        <v>219</v>
      </c>
      <c r="B256" s="7">
        <v>0.61692377516614094</v>
      </c>
      <c r="C256" s="28">
        <v>7400.6614054659476</v>
      </c>
      <c r="D256" s="28">
        <v>11996.070995112661</v>
      </c>
    </row>
    <row r="257" spans="1:4" x14ac:dyDescent="0.2">
      <c r="A257">
        <v>220</v>
      </c>
      <c r="B257" s="7">
        <v>0.92489147253779347</v>
      </c>
      <c r="C257" s="28">
        <v>7369.9260848505428</v>
      </c>
      <c r="D257" s="28">
        <v>7968.4225703025804</v>
      </c>
    </row>
    <row r="258" spans="1:4" x14ac:dyDescent="0.2">
      <c r="A258">
        <v>221</v>
      </c>
      <c r="B258" s="7">
        <v>1.006940179831739</v>
      </c>
      <c r="C258" s="28">
        <v>6098.7699552754675</v>
      </c>
      <c r="D258" s="28">
        <v>6056.7351243194798</v>
      </c>
    </row>
    <row r="259" spans="1:4" x14ac:dyDescent="0.2">
      <c r="A259">
        <v>222</v>
      </c>
      <c r="B259" s="7">
        <v>0.86072153394500983</v>
      </c>
      <c r="C259" s="28">
        <v>6306.6560863477343</v>
      </c>
      <c r="D259" s="28">
        <v>7327.1735835886002</v>
      </c>
    </row>
    <row r="260" spans="1:4" x14ac:dyDescent="0.2">
      <c r="A260">
        <v>223</v>
      </c>
      <c r="B260" s="35">
        <v>0.97969099679226446</v>
      </c>
      <c r="C260" s="36">
        <v>5086.7373625888304</v>
      </c>
      <c r="D260" s="36">
        <v>5192.1854740361896</v>
      </c>
    </row>
    <row r="261" spans="1:4" x14ac:dyDescent="0.2">
      <c r="A261">
        <v>224</v>
      </c>
      <c r="B261" s="7">
        <v>0.95526253290312724</v>
      </c>
      <c r="C261" s="28">
        <v>7737.050890808483</v>
      </c>
      <c r="D261" s="28">
        <v>8099.3974162211744</v>
      </c>
    </row>
    <row r="262" spans="1:4" x14ac:dyDescent="0.2">
      <c r="A262">
        <v>225</v>
      </c>
      <c r="B262" s="7">
        <v>0.74751924042254547</v>
      </c>
      <c r="C262" s="28">
        <v>5318.8987725558745</v>
      </c>
      <c r="D262" s="28">
        <v>7115.400493971626</v>
      </c>
    </row>
    <row r="263" spans="1:4" x14ac:dyDescent="0.2">
      <c r="A263">
        <v>226</v>
      </c>
      <c r="B263" s="7">
        <v>0.80599348197944209</v>
      </c>
      <c r="C263" s="28">
        <v>6655.7526583916933</v>
      </c>
      <c r="D263" s="28">
        <v>8257.8244206712534</v>
      </c>
    </row>
    <row r="264" spans="1:4" x14ac:dyDescent="0.2">
      <c r="A264">
        <v>227</v>
      </c>
      <c r="B264" s="7">
        <v>1.0461722108360556</v>
      </c>
      <c r="C264" s="28">
        <v>5416.2454310636422</v>
      </c>
      <c r="D264" s="28">
        <v>5177.2025436760678</v>
      </c>
    </row>
    <row r="265" spans="1:4" x14ac:dyDescent="0.2">
      <c r="A265">
        <v>228</v>
      </c>
      <c r="B265" s="7">
        <v>1.0390862413691648</v>
      </c>
      <c r="C265" s="28">
        <v>4060.6839825882707</v>
      </c>
      <c r="D265" s="28">
        <v>3907.9373981871422</v>
      </c>
    </row>
    <row r="266" spans="1:4" x14ac:dyDescent="0.2">
      <c r="A266">
        <v>229</v>
      </c>
      <c r="B266" s="7">
        <v>0.94172210034080361</v>
      </c>
      <c r="C266" s="28">
        <v>5434.3128854168754</v>
      </c>
      <c r="D266" s="28">
        <v>5770.6120345378213</v>
      </c>
    </row>
    <row r="267" spans="1:4" x14ac:dyDescent="0.2">
      <c r="A267">
        <v>230</v>
      </c>
      <c r="B267" s="7">
        <v>0.57477517372484144</v>
      </c>
      <c r="C267" s="28">
        <v>6826.790691401211</v>
      </c>
      <c r="D267" s="28">
        <v>11877.323523143952</v>
      </c>
    </row>
    <row r="268" spans="1:4" x14ac:dyDescent="0.2">
      <c r="A268">
        <v>231</v>
      </c>
      <c r="B268" s="7">
        <v>0.64528470821321449</v>
      </c>
      <c r="C268" s="28">
        <v>9738.4402143983662</v>
      </c>
      <c r="D268" s="28">
        <v>15091.695325252615</v>
      </c>
    </row>
    <row r="269" spans="1:4" x14ac:dyDescent="0.2">
      <c r="A269">
        <v>232</v>
      </c>
      <c r="B269" s="7">
        <v>0.74512062323032069</v>
      </c>
      <c r="C269" s="28">
        <v>8172.3228652540874</v>
      </c>
      <c r="D269" s="28">
        <v>10967.785094746974</v>
      </c>
    </row>
    <row r="270" spans="1:4" x14ac:dyDescent="0.2">
      <c r="A270">
        <v>233</v>
      </c>
      <c r="B270" s="7">
        <v>0.70852990610120337</v>
      </c>
      <c r="C270" s="28">
        <v>5335.1733215344884</v>
      </c>
      <c r="D270" s="28">
        <v>7529.9197332292069</v>
      </c>
    </row>
    <row r="271" spans="1:4" x14ac:dyDescent="0.2">
      <c r="A271">
        <v>234</v>
      </c>
      <c r="B271" s="7">
        <v>1.030473317905269</v>
      </c>
      <c r="C271" s="28">
        <v>7937.8278175184314</v>
      </c>
      <c r="D271" s="28">
        <v>7703.0891335006436</v>
      </c>
    </row>
    <row r="272" spans="1:4" x14ac:dyDescent="0.2">
      <c r="A272">
        <v>235</v>
      </c>
      <c r="B272" s="7">
        <v>0.63125531739445506</v>
      </c>
      <c r="C272" s="28">
        <v>7018.3800708394429</v>
      </c>
      <c r="D272" s="28">
        <v>11118.132200150387</v>
      </c>
    </row>
    <row r="273" spans="1:4" x14ac:dyDescent="0.2">
      <c r="A273">
        <v>236</v>
      </c>
      <c r="B273" s="7">
        <v>0.95594576677187426</v>
      </c>
      <c r="C273" s="28">
        <v>6880.5793496814895</v>
      </c>
      <c r="D273" s="28">
        <v>7197.6670527204315</v>
      </c>
    </row>
    <row r="274" spans="1:4" x14ac:dyDescent="0.2">
      <c r="A274">
        <v>237</v>
      </c>
      <c r="B274" s="7">
        <v>0.99756895072302232</v>
      </c>
      <c r="C274" s="28">
        <v>8321.0793739656583</v>
      </c>
      <c r="D274" s="28">
        <v>8341.3576253898755</v>
      </c>
    </row>
    <row r="275" spans="1:4" x14ac:dyDescent="0.2">
      <c r="A275">
        <v>238</v>
      </c>
      <c r="B275" s="7">
        <v>0.81824356595980685</v>
      </c>
      <c r="C275" s="28">
        <v>6564.8475266920341</v>
      </c>
      <c r="D275" s="28">
        <v>8023.0970334504382</v>
      </c>
    </row>
    <row r="276" spans="1:4" x14ac:dyDescent="0.2">
      <c r="A276">
        <v>239</v>
      </c>
      <c r="B276" s="7">
        <v>1.1836830315615163</v>
      </c>
      <c r="C276" s="28">
        <v>6371.2468146849351</v>
      </c>
      <c r="D276" s="28">
        <v>5382.5615851567773</v>
      </c>
    </row>
    <row r="277" spans="1:4" x14ac:dyDescent="0.2">
      <c r="A277">
        <v>240</v>
      </c>
      <c r="B277" s="7">
        <v>1.037461886814615</v>
      </c>
      <c r="C277" s="28">
        <v>4801.6297627771582</v>
      </c>
      <c r="D277" s="28">
        <v>4628.2469012137944</v>
      </c>
    </row>
    <row r="278" spans="1:4" x14ac:dyDescent="0.2">
      <c r="A278">
        <v>241</v>
      </c>
      <c r="B278" s="7">
        <v>1.0481931018330402</v>
      </c>
      <c r="C278" s="28">
        <v>8496.612792220194</v>
      </c>
      <c r="D278" s="28">
        <v>8105.9613704398944</v>
      </c>
    </row>
    <row r="279" spans="1:4" x14ac:dyDescent="0.2">
      <c r="A279">
        <v>242</v>
      </c>
      <c r="B279" s="7">
        <v>0.83477192001033096</v>
      </c>
      <c r="C279" s="28">
        <v>6527.8798329872352</v>
      </c>
      <c r="D279" s="28">
        <v>7819.9561778580755</v>
      </c>
    </row>
    <row r="280" spans="1:4" x14ac:dyDescent="0.2">
      <c r="A280">
        <v>243</v>
      </c>
      <c r="B280" s="7">
        <v>0.79058460839020661</v>
      </c>
      <c r="C280" s="28">
        <v>7390.0597658762199</v>
      </c>
      <c r="D280" s="28">
        <v>9347.5887178273133</v>
      </c>
    </row>
    <row r="281" spans="1:4" x14ac:dyDescent="0.2">
      <c r="A281">
        <v>244</v>
      </c>
      <c r="B281" s="7">
        <v>0.65087346998092332</v>
      </c>
      <c r="C281" s="28">
        <v>5787.995952538804</v>
      </c>
      <c r="D281" s="28">
        <v>8892.6592025765713</v>
      </c>
    </row>
    <row r="282" spans="1:4" x14ac:dyDescent="0.2">
      <c r="A282">
        <v>245</v>
      </c>
      <c r="B282" s="7">
        <v>0.73373179429163216</v>
      </c>
      <c r="C282" s="28">
        <v>7854.7978616342625</v>
      </c>
      <c r="D282" s="28">
        <v>10705.271221369836</v>
      </c>
    </row>
    <row r="283" spans="1:4" x14ac:dyDescent="0.2">
      <c r="A283">
        <v>246</v>
      </c>
      <c r="B283" s="7">
        <v>0.7461618012978608</v>
      </c>
      <c r="C283" s="28">
        <v>7002.2337829155258</v>
      </c>
      <c r="D283" s="28">
        <v>9384.3369772292863</v>
      </c>
    </row>
    <row r="284" spans="1:4" x14ac:dyDescent="0.2">
      <c r="A284">
        <v>247</v>
      </c>
      <c r="B284" s="7">
        <v>0.70530244279108256</v>
      </c>
      <c r="C284" s="28">
        <v>7492.880650319752</v>
      </c>
      <c r="D284" s="28">
        <v>10623.641994870017</v>
      </c>
    </row>
    <row r="285" spans="1:4" x14ac:dyDescent="0.2">
      <c r="A285">
        <v>248</v>
      </c>
      <c r="B285" s="7">
        <v>0.95990950326067992</v>
      </c>
      <c r="C285" s="28">
        <v>7643.8248082024056</v>
      </c>
      <c r="D285" s="28">
        <v>7963.0681665692327</v>
      </c>
    </row>
    <row r="286" spans="1:4" x14ac:dyDescent="0.2">
      <c r="A286">
        <v>249</v>
      </c>
      <c r="B286" s="7">
        <v>0.87668172096074048</v>
      </c>
      <c r="C286" s="28">
        <v>4779.9342566374016</v>
      </c>
      <c r="D286" s="28">
        <v>5452.3028624335338</v>
      </c>
    </row>
    <row r="287" spans="1:4" x14ac:dyDescent="0.2">
      <c r="A287">
        <v>250</v>
      </c>
      <c r="B287" s="7">
        <v>0.64256100388203485</v>
      </c>
      <c r="C287" s="28">
        <v>9155.4764225878644</v>
      </c>
      <c r="D287" s="28">
        <v>14248.41589712886</v>
      </c>
    </row>
    <row r="288" spans="1:4" x14ac:dyDescent="0.2">
      <c r="A288">
        <v>251</v>
      </c>
      <c r="B288" s="7">
        <v>0.71681488569743834</v>
      </c>
      <c r="C288" s="28">
        <v>7758.5238241055504</v>
      </c>
      <c r="D288" s="28">
        <v>10823.608687418302</v>
      </c>
    </row>
    <row r="289" spans="1:4" x14ac:dyDescent="0.2">
      <c r="A289">
        <v>252</v>
      </c>
      <c r="B289" s="7">
        <v>1.0500309005471102</v>
      </c>
      <c r="C289" s="28">
        <v>7014.1762069283159</v>
      </c>
      <c r="D289" s="28">
        <v>6679.9712306310557</v>
      </c>
    </row>
    <row r="290" spans="1:4" x14ac:dyDescent="0.2">
      <c r="A290">
        <v>253</v>
      </c>
      <c r="B290" s="7">
        <v>0.73734814121747405</v>
      </c>
      <c r="C290" s="28">
        <v>5097.6689369082178</v>
      </c>
      <c r="D290" s="28">
        <v>6913.5170375437447</v>
      </c>
    </row>
    <row r="291" spans="1:4" x14ac:dyDescent="0.2">
      <c r="A291">
        <v>254</v>
      </c>
      <c r="B291" s="7">
        <v>0.85814521957472856</v>
      </c>
      <c r="C291" s="28">
        <v>6266.4024923289962</v>
      </c>
      <c r="D291" s="28">
        <v>7302.2634740474814</v>
      </c>
    </row>
    <row r="292" spans="1:4" x14ac:dyDescent="0.2">
      <c r="A292">
        <v>255</v>
      </c>
      <c r="B292" s="7">
        <v>0.75746427130667549</v>
      </c>
      <c r="C292" s="28">
        <v>8218.6775925688671</v>
      </c>
      <c r="D292" s="28">
        <v>10850.251165498685</v>
      </c>
    </row>
    <row r="293" spans="1:4" x14ac:dyDescent="0.2">
      <c r="A293">
        <v>256</v>
      </c>
      <c r="B293" s="7">
        <v>0.95043235870470166</v>
      </c>
      <c r="C293" s="28">
        <v>6850.8970579367342</v>
      </c>
      <c r="D293" s="28">
        <v>7208.1900360310656</v>
      </c>
    </row>
    <row r="294" spans="1:4" x14ac:dyDescent="0.2">
      <c r="A294">
        <v>257</v>
      </c>
      <c r="B294" s="7">
        <v>0.73767433781266867</v>
      </c>
      <c r="C294" s="28">
        <v>8341.4408405078539</v>
      </c>
      <c r="D294" s="28">
        <v>11307.755215182979</v>
      </c>
    </row>
    <row r="295" spans="1:4" x14ac:dyDescent="0.2">
      <c r="A295">
        <v>258</v>
      </c>
      <c r="B295" s="7">
        <v>0.85623822619691303</v>
      </c>
      <c r="C295" s="28">
        <v>4953.3450860258781</v>
      </c>
      <c r="D295" s="28">
        <v>5785.0081139530139</v>
      </c>
    </row>
    <row r="296" spans="1:4" x14ac:dyDescent="0.2">
      <c r="A296">
        <v>259</v>
      </c>
      <c r="B296" s="7">
        <v>0.95063985353870351</v>
      </c>
      <c r="C296" s="28">
        <v>7328.6057601595712</v>
      </c>
      <c r="D296" s="28">
        <v>7709.1295224781998</v>
      </c>
    </row>
    <row r="297" spans="1:4" x14ac:dyDescent="0.2">
      <c r="A297">
        <v>260</v>
      </c>
      <c r="B297" s="7">
        <v>0.96613614494891742</v>
      </c>
      <c r="C297" s="28">
        <v>4923.454490810519</v>
      </c>
      <c r="D297" s="28">
        <v>5096.0255617709417</v>
      </c>
    </row>
    <row r="298" spans="1:4" x14ac:dyDescent="0.2">
      <c r="A298">
        <v>261</v>
      </c>
      <c r="B298" s="7">
        <v>0.75791700710732535</v>
      </c>
      <c r="C298" s="28">
        <v>5678.2450287380943</v>
      </c>
      <c r="D298" s="28">
        <v>7491.9087122873107</v>
      </c>
    </row>
    <row r="299" spans="1:4" x14ac:dyDescent="0.2">
      <c r="A299">
        <v>262</v>
      </c>
      <c r="B299" s="7">
        <v>0.8377709305090093</v>
      </c>
      <c r="C299" s="28">
        <v>6483.6680174011817</v>
      </c>
      <c r="D299" s="28">
        <v>7739.1895341389591</v>
      </c>
    </row>
    <row r="300" spans="1:4" x14ac:dyDescent="0.2">
      <c r="A300">
        <v>263</v>
      </c>
      <c r="B300" s="7">
        <v>0.68125756043488206</v>
      </c>
      <c r="C300" s="28">
        <v>6352.2466793681579</v>
      </c>
      <c r="D300" s="28">
        <v>9324.2953154357492</v>
      </c>
    </row>
    <row r="301" spans="1:4" x14ac:dyDescent="0.2">
      <c r="A301">
        <v>264</v>
      </c>
      <c r="B301" s="7">
        <v>0.72993046812341156</v>
      </c>
      <c r="C301" s="28">
        <v>7455.7263209778657</v>
      </c>
      <c r="D301" s="28">
        <v>10214.296630398094</v>
      </c>
    </row>
    <row r="302" spans="1:4" x14ac:dyDescent="0.2">
      <c r="A302">
        <v>265</v>
      </c>
      <c r="B302" s="7">
        <v>1.2045090914018761</v>
      </c>
      <c r="C302" s="28">
        <v>7735.4849942460314</v>
      </c>
      <c r="D302" s="28">
        <v>6422.1059429638963</v>
      </c>
    </row>
    <row r="303" spans="1:4" x14ac:dyDescent="0.2">
      <c r="A303">
        <v>266</v>
      </c>
      <c r="B303" s="7">
        <v>0.84991430452304328</v>
      </c>
      <c r="C303" s="28">
        <v>7343.8175026776898</v>
      </c>
      <c r="D303" s="28">
        <v>8640.6564327669585</v>
      </c>
    </row>
    <row r="304" spans="1:4" x14ac:dyDescent="0.2">
      <c r="A304">
        <v>267</v>
      </c>
      <c r="B304" s="7">
        <v>0.59679478939447428</v>
      </c>
      <c r="C304" s="28">
        <v>6881.5200933082833</v>
      </c>
      <c r="D304" s="28">
        <v>11530.797881614346</v>
      </c>
    </row>
    <row r="305" spans="1:4" x14ac:dyDescent="0.2">
      <c r="A305">
        <v>268</v>
      </c>
      <c r="B305" s="7">
        <v>0.82199621874162254</v>
      </c>
      <c r="C305" s="28">
        <v>7922.2393561809713</v>
      </c>
      <c r="D305" s="28">
        <v>9637.8051085307525</v>
      </c>
    </row>
    <row r="306" spans="1:4" x14ac:dyDescent="0.2">
      <c r="A306">
        <v>269</v>
      </c>
      <c r="B306" s="7">
        <v>0.66332471768893519</v>
      </c>
      <c r="C306" s="28">
        <v>8142.4719423619172</v>
      </c>
      <c r="D306" s="28">
        <v>12275.242766063051</v>
      </c>
    </row>
    <row r="307" spans="1:4" x14ac:dyDescent="0.2">
      <c r="A307">
        <v>270</v>
      </c>
      <c r="B307" s="7">
        <v>0.67747420289827254</v>
      </c>
      <c r="C307" s="28">
        <v>7423.2187261713334</v>
      </c>
      <c r="D307" s="28">
        <v>10957.197623783148</v>
      </c>
    </row>
    <row r="308" spans="1:4" x14ac:dyDescent="0.2">
      <c r="A308">
        <v>271</v>
      </c>
      <c r="B308" s="7">
        <v>0.87363962823962549</v>
      </c>
      <c r="C308" s="28">
        <v>3785.9288400282931</v>
      </c>
      <c r="D308" s="28">
        <v>4333.5131759726828</v>
      </c>
    </row>
    <row r="309" spans="1:4" x14ac:dyDescent="0.2">
      <c r="A309">
        <v>272</v>
      </c>
      <c r="B309" s="7">
        <v>0.66722158852164171</v>
      </c>
      <c r="C309" s="28">
        <v>8281.4737054751604</v>
      </c>
      <c r="D309" s="28">
        <v>12411.87912373214</v>
      </c>
    </row>
    <row r="310" spans="1:4" x14ac:dyDescent="0.2">
      <c r="A310">
        <v>273</v>
      </c>
      <c r="B310" s="7">
        <v>1.064732514892297</v>
      </c>
      <c r="C310" s="28">
        <v>7392.9434734295046</v>
      </c>
      <c r="D310" s="28">
        <v>6943.4748822124002</v>
      </c>
    </row>
    <row r="311" spans="1:4" x14ac:dyDescent="0.2">
      <c r="A311">
        <v>274</v>
      </c>
      <c r="B311" s="7">
        <v>0.89135402095719485</v>
      </c>
      <c r="C311" s="28">
        <v>5999.3567612780407</v>
      </c>
      <c r="D311" s="28">
        <v>6730.6105320931129</v>
      </c>
    </row>
    <row r="312" spans="1:4" x14ac:dyDescent="0.2">
      <c r="A312">
        <v>275</v>
      </c>
      <c r="B312" s="7">
        <v>1.0694026128269645</v>
      </c>
      <c r="C312" s="28">
        <v>6525.1037689612585</v>
      </c>
      <c r="D312" s="28">
        <v>6101.6343991456642</v>
      </c>
    </row>
    <row r="313" spans="1:4" x14ac:dyDescent="0.2">
      <c r="A313">
        <v>276</v>
      </c>
      <c r="B313" s="7">
        <v>0.6443440561953846</v>
      </c>
      <c r="C313" s="28">
        <v>6648.3366381669985</v>
      </c>
      <c r="D313" s="28">
        <v>10317.991722346271</v>
      </c>
    </row>
    <row r="314" spans="1:4" x14ac:dyDescent="0.2">
      <c r="A314">
        <v>277</v>
      </c>
      <c r="B314" s="7">
        <v>0.82557072221503081</v>
      </c>
      <c r="C314" s="28">
        <v>8300.1680932435593</v>
      </c>
      <c r="D314" s="28">
        <v>10053.854709108338</v>
      </c>
    </row>
    <row r="315" spans="1:4" x14ac:dyDescent="0.2">
      <c r="A315">
        <v>278</v>
      </c>
      <c r="B315" s="7">
        <v>0.58448280212686221</v>
      </c>
      <c r="C315" s="28">
        <v>9178.3087263258349</v>
      </c>
      <c r="D315" s="28">
        <v>15703.29989680976</v>
      </c>
    </row>
    <row r="316" spans="1:4" x14ac:dyDescent="0.2">
      <c r="A316">
        <v>279</v>
      </c>
      <c r="B316" s="7">
        <v>0.66949313903997343</v>
      </c>
      <c r="C316" s="28">
        <v>4277.1957298981524</v>
      </c>
      <c r="D316" s="28">
        <v>6388.7073376606686</v>
      </c>
    </row>
    <row r="317" spans="1:4" x14ac:dyDescent="0.2">
      <c r="A317">
        <v>280</v>
      </c>
      <c r="B317" s="7">
        <v>1.1224681639730845</v>
      </c>
      <c r="C317" s="28">
        <v>8087.6709398044413</v>
      </c>
      <c r="D317" s="28">
        <v>7205.2564156272811</v>
      </c>
    </row>
    <row r="318" spans="1:4" x14ac:dyDescent="0.2">
      <c r="A318">
        <v>281</v>
      </c>
      <c r="B318" s="7">
        <v>0.81571062137142025</v>
      </c>
      <c r="C318" s="28">
        <v>7465.9620764457613</v>
      </c>
      <c r="D318" s="28">
        <v>9152.7091603803692</v>
      </c>
    </row>
    <row r="319" spans="1:4" x14ac:dyDescent="0.2">
      <c r="A319">
        <v>282</v>
      </c>
      <c r="B319" s="7">
        <v>0.79728153311665917</v>
      </c>
      <c r="C319" s="28">
        <v>8163.058530949048</v>
      </c>
      <c r="D319" s="28">
        <v>10238.614832879392</v>
      </c>
    </row>
    <row r="320" spans="1:4" x14ac:dyDescent="0.2">
      <c r="A320">
        <v>283</v>
      </c>
      <c r="B320" s="7">
        <v>0.86567162184481283</v>
      </c>
      <c r="C320" s="28">
        <v>6657.0847224076733</v>
      </c>
      <c r="D320" s="28">
        <v>7690.0808047986066</v>
      </c>
    </row>
    <row r="321" spans="1:4" x14ac:dyDescent="0.2">
      <c r="A321">
        <v>284</v>
      </c>
      <c r="B321" s="35">
        <v>1.0333610611700976</v>
      </c>
      <c r="C321" s="36">
        <v>7145.027292490875</v>
      </c>
      <c r="D321" s="36">
        <v>6914.3570054791908</v>
      </c>
    </row>
    <row r="322" spans="1:4" x14ac:dyDescent="0.2">
      <c r="A322">
        <v>285</v>
      </c>
      <c r="B322" s="7">
        <v>0.98909576526733289</v>
      </c>
      <c r="C322" s="28">
        <v>9665.1541731120378</v>
      </c>
      <c r="D322" s="28">
        <v>9771.7071617425627</v>
      </c>
    </row>
    <row r="323" spans="1:4" x14ac:dyDescent="0.2">
      <c r="A323">
        <v>286</v>
      </c>
      <c r="B323" s="7">
        <v>0.61216974294024062</v>
      </c>
      <c r="C323" s="28">
        <v>7446.9299586205061</v>
      </c>
      <c r="D323" s="28">
        <v>12164.812202009578</v>
      </c>
    </row>
    <row r="324" spans="1:4" x14ac:dyDescent="0.2">
      <c r="A324">
        <v>287</v>
      </c>
      <c r="B324" s="7">
        <v>0.88522634358735353</v>
      </c>
      <c r="C324" s="28">
        <v>7697.7754038971416</v>
      </c>
      <c r="D324" s="28">
        <v>8695.8272984761552</v>
      </c>
    </row>
    <row r="325" spans="1:4" x14ac:dyDescent="0.2">
      <c r="A325">
        <v>288</v>
      </c>
      <c r="B325" s="7">
        <v>0.61111826056894358</v>
      </c>
      <c r="C325" s="28">
        <v>7036.6454119151258</v>
      </c>
      <c r="D325" s="28">
        <v>11514.375966059491</v>
      </c>
    </row>
    <row r="326" spans="1:4" x14ac:dyDescent="0.2">
      <c r="A326">
        <v>289</v>
      </c>
      <c r="B326" s="7">
        <v>0.70918596959988633</v>
      </c>
      <c r="C326" s="28">
        <v>9439.3938235957285</v>
      </c>
      <c r="D326" s="28">
        <v>13310.181289854499</v>
      </c>
    </row>
    <row r="327" spans="1:4" x14ac:dyDescent="0.2">
      <c r="A327">
        <v>290</v>
      </c>
      <c r="B327" s="7">
        <v>0.68142180400932872</v>
      </c>
      <c r="C327" s="28">
        <v>6985.8722137132954</v>
      </c>
      <c r="D327" s="28">
        <v>10251.905901176091</v>
      </c>
    </row>
    <row r="328" spans="1:4" x14ac:dyDescent="0.2">
      <c r="A328">
        <v>291</v>
      </c>
      <c r="B328" s="7">
        <v>0.73597366396808184</v>
      </c>
      <c r="C328" s="28">
        <v>7359.7333357583311</v>
      </c>
      <c r="D328" s="28">
        <v>9999.9955108142458</v>
      </c>
    </row>
    <row r="329" spans="1:4" x14ac:dyDescent="0.2">
      <c r="A329">
        <v>292</v>
      </c>
      <c r="B329" s="7">
        <v>0.8765058321682222</v>
      </c>
      <c r="C329" s="28">
        <v>6153.9684727640652</v>
      </c>
      <c r="D329" s="28">
        <v>7021.0239874170893</v>
      </c>
    </row>
    <row r="330" spans="1:4" x14ac:dyDescent="0.2">
      <c r="A330">
        <v>293</v>
      </c>
      <c r="B330" s="7">
        <v>0.88147911729496009</v>
      </c>
      <c r="C330" s="28">
        <v>6725.6021300647735</v>
      </c>
      <c r="D330" s="28">
        <v>7629.9052332674328</v>
      </c>
    </row>
    <row r="331" spans="1:4" x14ac:dyDescent="0.2">
      <c r="A331">
        <v>294</v>
      </c>
      <c r="B331" s="7">
        <v>0.73847196995044406</v>
      </c>
      <c r="C331" s="28">
        <v>5831.1773480624797</v>
      </c>
      <c r="D331" s="28">
        <v>7896.2744495959505</v>
      </c>
    </row>
    <row r="332" spans="1:4" x14ac:dyDescent="0.2">
      <c r="A332">
        <v>295</v>
      </c>
      <c r="B332" s="7">
        <v>0.83569671696520498</v>
      </c>
      <c r="C332" s="28">
        <v>4953.2349822917704</v>
      </c>
      <c r="D332" s="28">
        <v>5927.0724435525135</v>
      </c>
    </row>
    <row r="333" spans="1:4" x14ac:dyDescent="0.2">
      <c r="A333">
        <v>296</v>
      </c>
      <c r="B333" s="7">
        <v>0.83514433910034302</v>
      </c>
      <c r="C333" s="28">
        <v>6874.8950673128475</v>
      </c>
      <c r="D333" s="28">
        <v>8231.9842755790087</v>
      </c>
    </row>
    <row r="334" spans="1:4" x14ac:dyDescent="0.2">
      <c r="A334">
        <v>297</v>
      </c>
      <c r="B334" s="7">
        <v>0.72250778009021666</v>
      </c>
      <c r="C334" s="28">
        <v>6541.4177801001488</v>
      </c>
      <c r="D334" s="28">
        <v>9053.767945977479</v>
      </c>
    </row>
    <row r="335" spans="1:4" x14ac:dyDescent="0.2">
      <c r="A335">
        <v>298</v>
      </c>
      <c r="B335" s="7">
        <v>0.67309647957425423</v>
      </c>
      <c r="C335" s="28">
        <v>5235.0248825421204</v>
      </c>
      <c r="D335" s="28">
        <v>7777.5252752077513</v>
      </c>
    </row>
    <row r="336" spans="1:4" x14ac:dyDescent="0.2">
      <c r="A336">
        <v>299</v>
      </c>
      <c r="B336" s="7">
        <v>0.64258904802923578</v>
      </c>
      <c r="C336" s="28">
        <v>6992.7621691533514</v>
      </c>
      <c r="D336" s="28">
        <v>10882.168301186488</v>
      </c>
    </row>
    <row r="337" spans="1:4" x14ac:dyDescent="0.2">
      <c r="A337">
        <v>300</v>
      </c>
      <c r="B337" s="7">
        <v>0.78059718796060018</v>
      </c>
      <c r="C337" s="28">
        <v>7614.6313122748825</v>
      </c>
      <c r="D337" s="28">
        <v>9754.87925106287</v>
      </c>
    </row>
    <row r="338" spans="1:4" x14ac:dyDescent="0.2">
      <c r="A338">
        <v>301</v>
      </c>
      <c r="B338" s="7">
        <v>0.66875524736794656</v>
      </c>
      <c r="C338" s="28">
        <v>6907.1332207650303</v>
      </c>
      <c r="D338" s="28">
        <v>10328.342466021433</v>
      </c>
    </row>
    <row r="339" spans="1:4" x14ac:dyDescent="0.2">
      <c r="A339">
        <v>302</v>
      </c>
      <c r="B339" s="7">
        <v>0.79022559179232665</v>
      </c>
      <c r="C339" s="28">
        <v>6666.1198899034571</v>
      </c>
      <c r="D339" s="28">
        <v>8435.717545902171</v>
      </c>
    </row>
    <row r="340" spans="1:4" x14ac:dyDescent="0.2">
      <c r="A340">
        <v>303</v>
      </c>
      <c r="B340" s="7">
        <v>0.90176563987771541</v>
      </c>
      <c r="C340" s="28">
        <v>6721.6524648370705</v>
      </c>
      <c r="D340" s="28">
        <v>7453.8795531714486</v>
      </c>
    </row>
    <row r="341" spans="1:4" x14ac:dyDescent="0.2">
      <c r="A341">
        <v>304</v>
      </c>
      <c r="B341" s="7">
        <v>0.80859485952297394</v>
      </c>
      <c r="C341" s="28">
        <v>5472.7526067953859</v>
      </c>
      <c r="D341" s="28">
        <v>6768.225820807228</v>
      </c>
    </row>
    <row r="342" spans="1:4" x14ac:dyDescent="0.2">
      <c r="A342">
        <v>305</v>
      </c>
      <c r="B342" s="7">
        <v>0.7112173448544814</v>
      </c>
      <c r="C342" s="28">
        <v>8522.4947020510463</v>
      </c>
      <c r="D342" s="28">
        <v>11982.968024767157</v>
      </c>
    </row>
    <row r="343" spans="1:4" x14ac:dyDescent="0.2">
      <c r="A343">
        <v>306</v>
      </c>
      <c r="B343" s="7">
        <v>0.75389793652916204</v>
      </c>
      <c r="C343" s="28">
        <v>6415.9558512772055</v>
      </c>
      <c r="D343" s="28">
        <v>8510.3772545330812</v>
      </c>
    </row>
    <row r="344" spans="1:4" x14ac:dyDescent="0.2">
      <c r="A344">
        <v>307</v>
      </c>
      <c r="B344" s="7">
        <v>0.77502752382986451</v>
      </c>
      <c r="C344" s="28">
        <v>5426.5135024148894</v>
      </c>
      <c r="D344" s="28">
        <v>7001.7042434819741</v>
      </c>
    </row>
    <row r="345" spans="1:4" x14ac:dyDescent="0.2">
      <c r="A345">
        <v>308</v>
      </c>
      <c r="B345" s="7">
        <v>0.91973083723999327</v>
      </c>
      <c r="C345" s="28">
        <v>6908.3725313036539</v>
      </c>
      <c r="D345" s="28">
        <v>7511.2981446124904</v>
      </c>
    </row>
    <row r="346" spans="1:4" x14ac:dyDescent="0.2">
      <c r="A346">
        <v>309</v>
      </c>
      <c r="B346" s="7">
        <v>0.95194627356901851</v>
      </c>
      <c r="C346" s="28">
        <v>7569.2631863174083</v>
      </c>
      <c r="D346" s="28">
        <v>7951.3554456585807</v>
      </c>
    </row>
    <row r="347" spans="1:4" x14ac:dyDescent="0.2">
      <c r="A347">
        <v>310</v>
      </c>
      <c r="B347" s="7">
        <v>0.73887491284130746</v>
      </c>
      <c r="C347" s="28">
        <v>5433.7706274189422</v>
      </c>
      <c r="D347" s="28">
        <v>7354.1143879464553</v>
      </c>
    </row>
    <row r="348" spans="1:4" x14ac:dyDescent="0.2">
      <c r="A348">
        <v>311</v>
      </c>
      <c r="B348" s="7">
        <v>0.87272101150030856</v>
      </c>
      <c r="C348" s="28">
        <v>4135.8326139289547</v>
      </c>
      <c r="D348" s="28">
        <v>4739.0088693051848</v>
      </c>
    </row>
    <row r="349" spans="1:4" x14ac:dyDescent="0.2">
      <c r="A349">
        <v>312</v>
      </c>
      <c r="B349" s="7">
        <v>0.5546346803174611</v>
      </c>
      <c r="C349" s="28">
        <v>7770.850199905175</v>
      </c>
      <c r="D349" s="28">
        <v>14010.75424179625</v>
      </c>
    </row>
    <row r="350" spans="1:4" x14ac:dyDescent="0.2">
      <c r="A350">
        <v>313</v>
      </c>
      <c r="B350" s="7">
        <v>1.0749844757823706</v>
      </c>
      <c r="C350" s="28">
        <v>7794.8626566842158</v>
      </c>
      <c r="D350" s="28">
        <v>7251.1397441448053</v>
      </c>
    </row>
    <row r="351" spans="1:4" x14ac:dyDescent="0.2">
      <c r="A351">
        <v>314</v>
      </c>
      <c r="B351" s="7">
        <v>0.90264923328997959</v>
      </c>
      <c r="C351" s="28">
        <v>7789.1897665661036</v>
      </c>
      <c r="D351" s="28">
        <v>8629.2542875996623</v>
      </c>
    </row>
    <row r="352" spans="1:4" x14ac:dyDescent="0.2">
      <c r="A352">
        <v>315</v>
      </c>
      <c r="B352" s="7">
        <v>0.64486926252948162</v>
      </c>
      <c r="C352" s="28">
        <v>7030.3919874275853</v>
      </c>
      <c r="D352" s="28">
        <v>10902.042314516697</v>
      </c>
    </row>
    <row r="353" spans="1:4" x14ac:dyDescent="0.2">
      <c r="A353">
        <v>316</v>
      </c>
      <c r="B353" s="7">
        <v>0.88623132561453666</v>
      </c>
      <c r="C353" s="28">
        <v>7677.6042571058315</v>
      </c>
      <c r="D353" s="28">
        <v>8663.2056836650117</v>
      </c>
    </row>
    <row r="354" spans="1:4" x14ac:dyDescent="0.2">
      <c r="A354">
        <v>317</v>
      </c>
      <c r="B354" s="7">
        <v>1.0510583664303148</v>
      </c>
      <c r="C354" s="28">
        <v>7081.3536463047003</v>
      </c>
      <c r="D354" s="28">
        <v>6737.3552910814433</v>
      </c>
    </row>
    <row r="355" spans="1:4" x14ac:dyDescent="0.2">
      <c r="A355">
        <v>318</v>
      </c>
      <c r="B355" s="7">
        <v>0.91070339355500707</v>
      </c>
      <c r="C355" s="28">
        <v>5949.787670683294</v>
      </c>
      <c r="D355" s="28">
        <v>6533.178324347512</v>
      </c>
    </row>
    <row r="356" spans="1:4" x14ac:dyDescent="0.2">
      <c r="A356">
        <v>319</v>
      </c>
      <c r="B356" s="7">
        <v>0.63357564834271773</v>
      </c>
      <c r="C356" s="28">
        <v>5946.7989208035415</v>
      </c>
      <c r="D356" s="28">
        <v>9386.0913631370531</v>
      </c>
    </row>
    <row r="357" spans="1:4" x14ac:dyDescent="0.2">
      <c r="A357">
        <v>320</v>
      </c>
      <c r="B357" s="7">
        <v>0.67253706982271488</v>
      </c>
      <c r="C357" s="28">
        <v>6528.1782914091546</v>
      </c>
      <c r="D357" s="28">
        <v>9706.7932524968837</v>
      </c>
    </row>
    <row r="358" spans="1:4" x14ac:dyDescent="0.2">
      <c r="A358">
        <v>321</v>
      </c>
      <c r="B358" s="7">
        <v>0.70342926970340613</v>
      </c>
      <c r="C358" s="28">
        <v>6679.6818961217632</v>
      </c>
      <c r="D358" s="28">
        <v>9495.8827899472872</v>
      </c>
    </row>
    <row r="359" spans="1:4" x14ac:dyDescent="0.2">
      <c r="A359">
        <v>322</v>
      </c>
      <c r="B359" s="7">
        <v>0.8253489305212538</v>
      </c>
      <c r="C359" s="28">
        <v>8001.3187586154818</v>
      </c>
      <c r="D359" s="28">
        <v>9694.4679549802095</v>
      </c>
    </row>
    <row r="360" spans="1:4" x14ac:dyDescent="0.2">
      <c r="A360">
        <v>323</v>
      </c>
      <c r="B360" s="7">
        <v>0.94261710577662949</v>
      </c>
      <c r="C360" s="28">
        <v>6045.7461687762116</v>
      </c>
      <c r="D360" s="28">
        <v>6413.787880281543</v>
      </c>
    </row>
    <row r="361" spans="1:4" x14ac:dyDescent="0.2">
      <c r="A361">
        <v>324</v>
      </c>
      <c r="B361" s="7">
        <v>0.59560065253926808</v>
      </c>
      <c r="C361" s="28">
        <v>8164.2434578874281</v>
      </c>
      <c r="D361" s="28">
        <v>13707.579773595291</v>
      </c>
    </row>
    <row r="362" spans="1:4" x14ac:dyDescent="0.2">
      <c r="A362">
        <v>325</v>
      </c>
      <c r="B362" s="7">
        <v>0.81544102819346342</v>
      </c>
      <c r="C362" s="28">
        <v>6918.1222979945305</v>
      </c>
      <c r="D362" s="28">
        <v>8483.9026475292903</v>
      </c>
    </row>
    <row r="363" spans="1:4" x14ac:dyDescent="0.2">
      <c r="A363">
        <v>326</v>
      </c>
      <c r="B363" s="35">
        <v>0.93418463084445058</v>
      </c>
      <c r="C363" s="36">
        <v>5894.7900876507683</v>
      </c>
      <c r="D363" s="36">
        <v>6310.0910601817632</v>
      </c>
    </row>
    <row r="364" spans="1:4" x14ac:dyDescent="0.2">
      <c r="A364">
        <v>327</v>
      </c>
      <c r="B364" s="7">
        <v>0.84415368528765633</v>
      </c>
      <c r="C364" s="28">
        <v>7339.6694318706595</v>
      </c>
      <c r="D364" s="28">
        <v>8694.7075630778909</v>
      </c>
    </row>
    <row r="365" spans="1:4" x14ac:dyDescent="0.2">
      <c r="A365">
        <v>328</v>
      </c>
      <c r="B365" s="7">
        <v>0.77066872367214145</v>
      </c>
      <c r="C365" s="28">
        <v>6689.211001168449</v>
      </c>
      <c r="D365" s="28">
        <v>8679.7488930070795</v>
      </c>
    </row>
    <row r="366" spans="1:4" x14ac:dyDescent="0.2">
      <c r="A366">
        <v>329</v>
      </c>
      <c r="B366" s="7">
        <v>0.86454950541663322</v>
      </c>
      <c r="C366" s="28">
        <v>5868.4966401144975</v>
      </c>
      <c r="D366" s="28">
        <v>6787.9243505973927</v>
      </c>
    </row>
    <row r="367" spans="1:4" x14ac:dyDescent="0.2">
      <c r="A367">
        <v>330</v>
      </c>
      <c r="B367" s="35">
        <v>0.76880697503603734</v>
      </c>
      <c r="C367" s="36">
        <v>7976.064088751451</v>
      </c>
      <c r="D367" s="36">
        <v>10374.599018664701</v>
      </c>
    </row>
    <row r="368" spans="1:4" x14ac:dyDescent="0.2">
      <c r="A368">
        <v>331</v>
      </c>
      <c r="B368" s="7">
        <v>0.64499912045258334</v>
      </c>
      <c r="C368" s="28">
        <v>4908.9489294555569</v>
      </c>
      <c r="D368" s="28">
        <v>7610.783912404474</v>
      </c>
    </row>
    <row r="369" spans="1:4" x14ac:dyDescent="0.2">
      <c r="A369">
        <v>332</v>
      </c>
      <c r="B369" s="7">
        <v>0.87686437354897784</v>
      </c>
      <c r="C369" s="28">
        <v>6910.4319414111214</v>
      </c>
      <c r="D369" s="28">
        <v>7880.8446891760223</v>
      </c>
    </row>
    <row r="370" spans="1:4" x14ac:dyDescent="0.2">
      <c r="A370">
        <v>333</v>
      </c>
      <c r="B370" s="7">
        <v>0.72495456915535872</v>
      </c>
      <c r="C370" s="28">
        <v>6017.7421875100372</v>
      </c>
      <c r="D370" s="28">
        <v>8300.8542101076509</v>
      </c>
    </row>
    <row r="371" spans="1:4" x14ac:dyDescent="0.2">
      <c r="A371">
        <v>334</v>
      </c>
      <c r="B371" s="7">
        <v>0.78875054696208213</v>
      </c>
      <c r="C371" s="28">
        <v>5247.8770115079715</v>
      </c>
      <c r="D371" s="28">
        <v>6653.4052264311831</v>
      </c>
    </row>
    <row r="372" spans="1:4" x14ac:dyDescent="0.2">
      <c r="A372">
        <v>335</v>
      </c>
      <c r="B372" s="7">
        <v>0.93818077783915754</v>
      </c>
      <c r="C372" s="28">
        <v>8173.1519852701367</v>
      </c>
      <c r="D372" s="28">
        <v>8711.7026678960028</v>
      </c>
    </row>
    <row r="373" spans="1:4" x14ac:dyDescent="0.2">
      <c r="A373">
        <v>336</v>
      </c>
      <c r="B373" s="7">
        <v>1.137723672271898</v>
      </c>
      <c r="C373" s="28">
        <v>7647.7862711501684</v>
      </c>
      <c r="D373" s="28">
        <v>6722.0068084532822</v>
      </c>
    </row>
    <row r="374" spans="1:4" x14ac:dyDescent="0.2">
      <c r="A374">
        <v>337</v>
      </c>
      <c r="B374" s="35">
        <v>0.8832582932369597</v>
      </c>
      <c r="C374" s="36">
        <v>6882.9836711791268</v>
      </c>
      <c r="D374" s="36">
        <v>7792.7189859201999</v>
      </c>
    </row>
    <row r="375" spans="1:4" x14ac:dyDescent="0.2">
      <c r="A375">
        <v>338</v>
      </c>
      <c r="B375" s="7">
        <v>0.7535623609634019</v>
      </c>
      <c r="C375" s="28">
        <v>8427.9606362868435</v>
      </c>
      <c r="D375" s="28">
        <v>11184.158170416054</v>
      </c>
    </row>
    <row r="376" spans="1:4" x14ac:dyDescent="0.2">
      <c r="A376">
        <v>339</v>
      </c>
      <c r="B376" s="7">
        <v>0.76139384487743822</v>
      </c>
      <c r="C376" s="28">
        <v>6745.0770556784119</v>
      </c>
      <c r="D376" s="28">
        <v>8858.8541936061611</v>
      </c>
    </row>
    <row r="377" spans="1:4" x14ac:dyDescent="0.2">
      <c r="A377">
        <v>340</v>
      </c>
      <c r="B377" s="7">
        <v>0.85258745908265343</v>
      </c>
      <c r="C377" s="28">
        <v>5250.5982277389758</v>
      </c>
      <c r="D377" s="28">
        <v>6158.4277035793939</v>
      </c>
    </row>
    <row r="378" spans="1:4" x14ac:dyDescent="0.2">
      <c r="A378">
        <v>341</v>
      </c>
      <c r="B378" s="35">
        <v>0.60233052516249863</v>
      </c>
      <c r="C378" s="36">
        <v>7764.1265810748155</v>
      </c>
      <c r="D378" s="36">
        <v>12890.142964247387</v>
      </c>
    </row>
    <row r="379" spans="1:4" x14ac:dyDescent="0.2">
      <c r="A379">
        <v>342</v>
      </c>
      <c r="B379" s="7">
        <v>0.98442130353481794</v>
      </c>
      <c r="C379" s="28">
        <v>5219.5163846503583</v>
      </c>
      <c r="D379" s="28">
        <v>5302.1164474075704</v>
      </c>
    </row>
    <row r="380" spans="1:4" x14ac:dyDescent="0.2">
      <c r="A380">
        <v>343</v>
      </c>
      <c r="B380" s="7">
        <v>0.94125764790561917</v>
      </c>
      <c r="C380" s="28">
        <v>6641.168989297099</v>
      </c>
      <c r="D380" s="28">
        <v>7055.6334963910067</v>
      </c>
    </row>
    <row r="381" spans="1:4" x14ac:dyDescent="0.2">
      <c r="A381">
        <v>344</v>
      </c>
      <c r="B381" s="7">
        <v>1.1738343278202432</v>
      </c>
      <c r="C381" s="28">
        <v>6159.7412206097288</v>
      </c>
      <c r="D381" s="28">
        <v>5247.5388345884267</v>
      </c>
    </row>
    <row r="382" spans="1:4" x14ac:dyDescent="0.2">
      <c r="A382">
        <v>345</v>
      </c>
      <c r="B382" s="7">
        <v>0.82396780935307401</v>
      </c>
      <c r="C382" s="28">
        <v>6961.1471693402473</v>
      </c>
      <c r="D382" s="28">
        <v>8448.3241824770903</v>
      </c>
    </row>
    <row r="383" spans="1:4" x14ac:dyDescent="0.2">
      <c r="A383">
        <v>346</v>
      </c>
      <c r="B383" s="7">
        <v>1.1575133941397073</v>
      </c>
      <c r="C383" s="28">
        <v>5797.5307633565808</v>
      </c>
      <c r="D383" s="28">
        <v>5008.6079286066915</v>
      </c>
    </row>
    <row r="384" spans="1:4" x14ac:dyDescent="0.2">
      <c r="A384">
        <v>347</v>
      </c>
      <c r="B384" s="35">
        <v>0.85452934060952934</v>
      </c>
      <c r="C384" s="36">
        <v>7684.0829456115425</v>
      </c>
      <c r="D384" s="36">
        <v>8992.1815208013159</v>
      </c>
    </row>
    <row r="385" spans="1:4" x14ac:dyDescent="0.2">
      <c r="A385">
        <v>348</v>
      </c>
      <c r="B385" s="7">
        <v>0.81987141593929458</v>
      </c>
      <c r="C385" s="28">
        <v>7825.3628523793886</v>
      </c>
      <c r="D385" s="28">
        <v>9544.6221203042878</v>
      </c>
    </row>
    <row r="386" spans="1:4" x14ac:dyDescent="0.2">
      <c r="A386">
        <v>349</v>
      </c>
      <c r="B386" s="7">
        <v>0.80453395796723193</v>
      </c>
      <c r="C386" s="28">
        <v>8379.2235404950497</v>
      </c>
      <c r="D386" s="28">
        <v>10415.00294364993</v>
      </c>
    </row>
    <row r="387" spans="1:4" x14ac:dyDescent="0.2">
      <c r="A387">
        <v>350</v>
      </c>
      <c r="B387" s="7">
        <v>1.038821798442247</v>
      </c>
      <c r="C387" s="28">
        <v>8707.0610990458736</v>
      </c>
      <c r="D387" s="28">
        <v>8381.6696108056694</v>
      </c>
    </row>
    <row r="388" spans="1:4" x14ac:dyDescent="0.2">
      <c r="A388">
        <v>351</v>
      </c>
      <c r="B388" s="7">
        <v>0.96831001882179812</v>
      </c>
      <c r="C388" s="28">
        <v>6358.8242151285958</v>
      </c>
      <c r="D388" s="28">
        <v>6566.9301066054913</v>
      </c>
    </row>
    <row r="389" spans="1:4" x14ac:dyDescent="0.2">
      <c r="A389">
        <v>352</v>
      </c>
      <c r="B389" s="35">
        <v>0.91384835064947811</v>
      </c>
      <c r="C389" s="36">
        <v>6993.5118538503375</v>
      </c>
      <c r="D389" s="36">
        <v>7652.8144400326401</v>
      </c>
    </row>
    <row r="390" spans="1:4" x14ac:dyDescent="0.2">
      <c r="A390">
        <v>353</v>
      </c>
      <c r="B390" s="7">
        <v>0.67107468416940108</v>
      </c>
      <c r="C390" s="28">
        <v>7083.2377935854929</v>
      </c>
      <c r="D390" s="28">
        <v>10555.066314791056</v>
      </c>
    </row>
    <row r="391" spans="1:4" x14ac:dyDescent="0.2">
      <c r="A391">
        <v>354</v>
      </c>
      <c r="B391" s="7">
        <v>0.85049527309445683</v>
      </c>
      <c r="C391" s="28">
        <v>5422.8270707468255</v>
      </c>
      <c r="D391" s="28">
        <v>6376.0813755217205</v>
      </c>
    </row>
    <row r="392" spans="1:4" x14ac:dyDescent="0.2">
      <c r="A392">
        <v>355</v>
      </c>
      <c r="B392" s="7">
        <v>0.87595676891597218</v>
      </c>
      <c r="C392" s="28">
        <v>5530.4955258682185</v>
      </c>
      <c r="D392" s="28">
        <v>6313.662639667029</v>
      </c>
    </row>
    <row r="393" spans="1:4" x14ac:dyDescent="0.2">
      <c r="A393">
        <v>356</v>
      </c>
      <c r="B393" s="7">
        <v>0.91997755123255143</v>
      </c>
      <c r="C393" s="28">
        <v>6486.6408610896769</v>
      </c>
      <c r="D393" s="28">
        <v>7050.868635217369</v>
      </c>
    </row>
    <row r="394" spans="1:4" x14ac:dyDescent="0.2">
      <c r="A394">
        <v>357</v>
      </c>
      <c r="B394" s="7">
        <v>0.78205023785052674</v>
      </c>
      <c r="C394" s="28">
        <v>7530.1257453572034</v>
      </c>
      <c r="D394" s="28">
        <v>9628.6982356195331</v>
      </c>
    </row>
    <row r="395" spans="1:4" x14ac:dyDescent="0.2">
      <c r="A395">
        <v>358</v>
      </c>
      <c r="B395" s="7">
        <v>1.2601187335016011</v>
      </c>
      <c r="C395" s="28">
        <v>5457.8826909454438</v>
      </c>
      <c r="D395" s="28">
        <v>4331.244783401602</v>
      </c>
    </row>
    <row r="396" spans="1:4" x14ac:dyDescent="0.2">
      <c r="A396">
        <v>359</v>
      </c>
      <c r="B396" s="35">
        <v>1.0717787592935135</v>
      </c>
      <c r="C396" s="36">
        <v>5692.039936787065</v>
      </c>
      <c r="D396" s="36">
        <v>5310.8348037603373</v>
      </c>
    </row>
    <row r="397" spans="1:4" x14ac:dyDescent="0.2">
      <c r="A397">
        <v>360</v>
      </c>
      <c r="B397" s="7">
        <v>0.97715134217034194</v>
      </c>
      <c r="C397" s="28">
        <v>6498.2204380389594</v>
      </c>
      <c r="D397" s="28">
        <v>6650.16784770087</v>
      </c>
    </row>
    <row r="398" spans="1:4" x14ac:dyDescent="0.2">
      <c r="A398">
        <v>361</v>
      </c>
      <c r="B398" s="7">
        <v>0.92169331483959116</v>
      </c>
      <c r="C398" s="28">
        <v>6493.6699034578678</v>
      </c>
      <c r="D398" s="28">
        <v>7045.3694291880674</v>
      </c>
    </row>
    <row r="399" spans="1:4" x14ac:dyDescent="0.2">
      <c r="A399">
        <v>362</v>
      </c>
      <c r="B399" s="7">
        <v>0.95110875715415766</v>
      </c>
      <c r="C399" s="28">
        <v>7672.8338921970662</v>
      </c>
      <c r="D399" s="28">
        <v>8067.2518620848296</v>
      </c>
    </row>
    <row r="400" spans="1:4" x14ac:dyDescent="0.2">
      <c r="A400">
        <v>363</v>
      </c>
      <c r="B400" s="7">
        <v>0.94954420804614514</v>
      </c>
      <c r="C400" s="28">
        <v>6348.2915796325651</v>
      </c>
      <c r="D400" s="28">
        <v>6685.6198224780874</v>
      </c>
    </row>
    <row r="401" spans="1:4" x14ac:dyDescent="0.2">
      <c r="A401">
        <v>364</v>
      </c>
      <c r="B401" s="7">
        <v>0.73425809081938986</v>
      </c>
      <c r="C401" s="28">
        <v>10197.291598231815</v>
      </c>
      <c r="D401" s="28">
        <v>13887.884554124863</v>
      </c>
    </row>
    <row r="402" spans="1:4" x14ac:dyDescent="0.2">
      <c r="A402">
        <v>365</v>
      </c>
      <c r="B402" s="7">
        <v>0.88167333844081064</v>
      </c>
      <c r="C402" s="28">
        <v>8164.0766714965084</v>
      </c>
      <c r="D402" s="28">
        <v>9259.752241044529</v>
      </c>
    </row>
    <row r="403" spans="1:4" x14ac:dyDescent="0.2">
      <c r="A403">
        <v>366</v>
      </c>
      <c r="B403" s="7">
        <v>0.79040458488035981</v>
      </c>
      <c r="C403" s="28">
        <v>8798.097383834287</v>
      </c>
      <c r="D403" s="28">
        <v>11131.131514332015</v>
      </c>
    </row>
    <row r="404" spans="1:4" x14ac:dyDescent="0.2">
      <c r="A404">
        <v>367</v>
      </c>
      <c r="B404" s="7">
        <v>0.73092082040847028</v>
      </c>
      <c r="C404" s="28">
        <v>8211.8130722507467</v>
      </c>
      <c r="D404" s="28">
        <v>11234.887340685724</v>
      </c>
    </row>
    <row r="405" spans="1:4" x14ac:dyDescent="0.2">
      <c r="A405">
        <v>368</v>
      </c>
      <c r="B405" s="7">
        <v>0.97506653923068853</v>
      </c>
      <c r="C405" s="28">
        <v>7434.6537187277081</v>
      </c>
      <c r="D405" s="28">
        <v>7624.7655104579098</v>
      </c>
    </row>
    <row r="406" spans="1:4" x14ac:dyDescent="0.2">
      <c r="A406">
        <v>369</v>
      </c>
      <c r="B406" s="7">
        <v>0.54722878747864634</v>
      </c>
      <c r="C406" s="28">
        <v>6920.3606661010799</v>
      </c>
      <c r="D406" s="28">
        <v>12646.192642727376</v>
      </c>
    </row>
    <row r="407" spans="1:4" x14ac:dyDescent="0.2">
      <c r="A407">
        <v>370</v>
      </c>
      <c r="B407" s="7">
        <v>0.91134423921344432</v>
      </c>
      <c r="C407" s="28">
        <v>7434.6563595779644</v>
      </c>
      <c r="D407" s="28">
        <v>8157.901306310564</v>
      </c>
    </row>
    <row r="408" spans="1:4" x14ac:dyDescent="0.2">
      <c r="A408">
        <v>371</v>
      </c>
      <c r="B408" s="7">
        <v>0.7838394678932481</v>
      </c>
      <c r="C408" s="28">
        <v>8189.8474729800164</v>
      </c>
      <c r="D408" s="28">
        <v>10448.373434157567</v>
      </c>
    </row>
    <row r="409" spans="1:4" x14ac:dyDescent="0.2">
      <c r="A409">
        <v>372</v>
      </c>
      <c r="B409" s="7">
        <v>1.1932578729379388</v>
      </c>
      <c r="C409" s="28">
        <v>6392.1629081356987</v>
      </c>
      <c r="D409" s="28">
        <v>5356.899839594148</v>
      </c>
    </row>
    <row r="410" spans="1:4" x14ac:dyDescent="0.2">
      <c r="A410">
        <v>373</v>
      </c>
      <c r="B410" s="7">
        <v>0.85485155499008414</v>
      </c>
      <c r="C410" s="28">
        <v>7803.2711416838447</v>
      </c>
      <c r="D410" s="28">
        <v>9128.2177544548758</v>
      </c>
    </row>
    <row r="411" spans="1:4" x14ac:dyDescent="0.2">
      <c r="A411">
        <v>374</v>
      </c>
      <c r="B411" s="7">
        <v>0.58740403601933266</v>
      </c>
      <c r="C411" s="28">
        <v>7677.0435682041061</v>
      </c>
      <c r="D411" s="28">
        <v>13069.443002518694</v>
      </c>
    </row>
    <row r="412" spans="1:4" x14ac:dyDescent="0.2">
      <c r="A412">
        <v>375</v>
      </c>
      <c r="B412" s="7">
        <v>0.62660055777732637</v>
      </c>
      <c r="C412" s="28">
        <v>8417.730646715685</v>
      </c>
      <c r="D412" s="28">
        <v>13433.96609248962</v>
      </c>
    </row>
    <row r="413" spans="1:4" x14ac:dyDescent="0.2">
      <c r="A413">
        <v>376</v>
      </c>
      <c r="B413" s="7">
        <v>1.0397168870735563</v>
      </c>
      <c r="C413" s="28">
        <v>5801.0926680357852</v>
      </c>
      <c r="D413" s="28">
        <v>5579.4925908762107</v>
      </c>
    </row>
    <row r="414" spans="1:4" x14ac:dyDescent="0.2">
      <c r="A414">
        <v>377</v>
      </c>
      <c r="B414" s="7">
        <v>0.55549414135742481</v>
      </c>
      <c r="C414" s="28">
        <v>7101.244103925681</v>
      </c>
      <c r="D414" s="28">
        <v>12783.652563054642</v>
      </c>
    </row>
    <row r="415" spans="1:4" x14ac:dyDescent="0.2">
      <c r="A415">
        <v>378</v>
      </c>
      <c r="B415" s="7">
        <v>0.89042042687524159</v>
      </c>
      <c r="C415" s="28">
        <v>7869.1460837499189</v>
      </c>
      <c r="D415" s="28">
        <v>8837.5623988829266</v>
      </c>
    </row>
    <row r="416" spans="1:4" x14ac:dyDescent="0.2">
      <c r="A416">
        <v>379</v>
      </c>
      <c r="B416" s="7">
        <v>0.78167873488548167</v>
      </c>
      <c r="C416" s="28">
        <v>4858.5098022080474</v>
      </c>
      <c r="D416" s="28">
        <v>6215.4816107666456</v>
      </c>
    </row>
    <row r="417" spans="1:4" x14ac:dyDescent="0.2">
      <c r="A417">
        <v>380</v>
      </c>
      <c r="B417" s="7">
        <v>0.85074490948383641</v>
      </c>
      <c r="C417" s="28">
        <v>8182.2159983324236</v>
      </c>
      <c r="D417" s="28">
        <v>9617.7078547513538</v>
      </c>
    </row>
    <row r="418" spans="1:4" x14ac:dyDescent="0.2">
      <c r="A418">
        <v>381</v>
      </c>
      <c r="B418" s="7">
        <v>0.66714963453255471</v>
      </c>
      <c r="C418" s="28">
        <v>7469.753294177608</v>
      </c>
      <c r="D418" s="28">
        <v>11196.518603223651</v>
      </c>
    </row>
    <row r="419" spans="1:4" x14ac:dyDescent="0.2">
      <c r="A419">
        <v>382</v>
      </c>
      <c r="B419" s="7">
        <v>0.97189651165602697</v>
      </c>
      <c r="C419" s="28">
        <v>7818.5159861334087</v>
      </c>
      <c r="D419" s="28">
        <v>8044.5972306365611</v>
      </c>
    </row>
    <row r="420" spans="1:4" x14ac:dyDescent="0.2">
      <c r="A420">
        <v>383</v>
      </c>
      <c r="B420" s="7">
        <v>0.78254824510394005</v>
      </c>
      <c r="C420" s="28">
        <v>6561.8776630168413</v>
      </c>
      <c r="D420" s="28">
        <v>8385.2691563384396</v>
      </c>
    </row>
    <row r="421" spans="1:4" x14ac:dyDescent="0.2">
      <c r="A421">
        <v>384</v>
      </c>
      <c r="B421" s="7">
        <v>0.84597514967865894</v>
      </c>
      <c r="C421" s="28">
        <v>5264.1522189681418</v>
      </c>
      <c r="D421" s="28">
        <v>6222.5849316823478</v>
      </c>
    </row>
    <row r="422" spans="1:4" x14ac:dyDescent="0.2">
      <c r="A422">
        <v>385</v>
      </c>
      <c r="B422" s="7">
        <v>0.63500901885731409</v>
      </c>
      <c r="C422" s="28">
        <v>7915.7270971060116</v>
      </c>
      <c r="D422" s="28">
        <v>12465.534916890161</v>
      </c>
    </row>
    <row r="423" spans="1:4" x14ac:dyDescent="0.2">
      <c r="A423">
        <v>386</v>
      </c>
      <c r="B423" s="7">
        <v>0.99002762098598396</v>
      </c>
      <c r="C423" s="28">
        <v>6271.0660469064078</v>
      </c>
      <c r="D423" s="28">
        <v>6334.2334233674765</v>
      </c>
    </row>
    <row r="424" spans="1:4" x14ac:dyDescent="0.2">
      <c r="A424">
        <v>387</v>
      </c>
      <c r="B424" s="7">
        <v>0.70530224780436157</v>
      </c>
      <c r="C424" s="28">
        <v>8872.8195702420689</v>
      </c>
      <c r="D424" s="28">
        <v>12580.166301558751</v>
      </c>
    </row>
    <row r="425" spans="1:4" x14ac:dyDescent="0.2">
      <c r="A425">
        <v>388</v>
      </c>
      <c r="B425" s="7">
        <v>1.012079901846155</v>
      </c>
      <c r="C425" s="28">
        <v>7350.8213099147961</v>
      </c>
      <c r="D425" s="28">
        <v>7263.0839684752327</v>
      </c>
    </row>
    <row r="426" spans="1:4" x14ac:dyDescent="0.2">
      <c r="A426">
        <v>389</v>
      </c>
      <c r="B426" s="7">
        <v>0.67054923487864038</v>
      </c>
      <c r="C426" s="28">
        <v>6424.7928856980743</v>
      </c>
      <c r="D426" s="28">
        <v>9581.3887355502957</v>
      </c>
    </row>
    <row r="427" spans="1:4" x14ac:dyDescent="0.2">
      <c r="A427">
        <v>390</v>
      </c>
      <c r="B427" s="7">
        <v>0.66118181780476171</v>
      </c>
      <c r="C427" s="28">
        <v>6830.3076675488883</v>
      </c>
      <c r="D427" s="28">
        <v>10330.45296107309</v>
      </c>
    </row>
    <row r="428" spans="1:4" x14ac:dyDescent="0.2">
      <c r="A428">
        <v>391</v>
      </c>
      <c r="B428" s="7">
        <v>1.0371248645327471</v>
      </c>
      <c r="C428" s="28">
        <v>5049.2621570054125</v>
      </c>
      <c r="D428" s="28">
        <v>4868.5190469136442</v>
      </c>
    </row>
    <row r="429" spans="1:4" x14ac:dyDescent="0.2">
      <c r="A429">
        <v>392</v>
      </c>
      <c r="B429" s="35">
        <v>1.0319771265813955</v>
      </c>
      <c r="C429" s="36">
        <v>5593.0620930674322</v>
      </c>
      <c r="D429" s="36">
        <v>5419.7539354340415</v>
      </c>
    </row>
    <row r="430" spans="1:4" x14ac:dyDescent="0.2">
      <c r="A430">
        <v>393</v>
      </c>
      <c r="B430" s="7">
        <v>0.75095475342191609</v>
      </c>
      <c r="C430" s="28">
        <v>6688.2504110131158</v>
      </c>
      <c r="D430" s="28">
        <v>8906.3294167010772</v>
      </c>
    </row>
    <row r="431" spans="1:4" x14ac:dyDescent="0.2">
      <c r="A431">
        <v>394</v>
      </c>
      <c r="B431" s="7">
        <v>0.77052959732598758</v>
      </c>
      <c r="C431" s="28">
        <v>6680.3859115624145</v>
      </c>
      <c r="D431" s="28">
        <v>8669.8628251863847</v>
      </c>
    </row>
    <row r="432" spans="1:4" x14ac:dyDescent="0.2">
      <c r="A432">
        <v>395</v>
      </c>
      <c r="B432" s="7">
        <v>0.78960220021041749</v>
      </c>
      <c r="C432" s="28">
        <v>6501.3866487395007</v>
      </c>
      <c r="D432" s="28">
        <v>8233.7494082551639</v>
      </c>
    </row>
    <row r="433" spans="1:4" x14ac:dyDescent="0.2">
      <c r="A433">
        <v>396</v>
      </c>
      <c r="B433" s="7">
        <v>0.89873568048818697</v>
      </c>
      <c r="C433" s="28">
        <v>7769.7940896429336</v>
      </c>
      <c r="D433" s="28">
        <v>8645.249385695286</v>
      </c>
    </row>
    <row r="434" spans="1:4" x14ac:dyDescent="0.2">
      <c r="A434">
        <v>397</v>
      </c>
      <c r="B434" s="7">
        <v>0.74464445913773147</v>
      </c>
      <c r="C434" s="28">
        <v>7334.3588491375058</v>
      </c>
      <c r="D434" s="28">
        <v>9849.4775045132283</v>
      </c>
    </row>
    <row r="435" spans="1:4" x14ac:dyDescent="0.2">
      <c r="A435">
        <v>398</v>
      </c>
      <c r="B435" s="7">
        <v>0.76509206743736513</v>
      </c>
      <c r="C435" s="29">
        <v>5290.8434266878558</v>
      </c>
      <c r="D435" s="28">
        <v>6915.3029444015183</v>
      </c>
    </row>
    <row r="436" spans="1:4" x14ac:dyDescent="0.2">
      <c r="A436">
        <v>399</v>
      </c>
      <c r="B436" s="7">
        <v>0.68226969591990105</v>
      </c>
      <c r="C436" s="28">
        <v>7111.8866543188997</v>
      </c>
      <c r="D436" s="28">
        <v>10423.864194539632</v>
      </c>
    </row>
    <row r="437" spans="1:4" x14ac:dyDescent="0.2">
      <c r="A437">
        <v>400</v>
      </c>
      <c r="B437" s="7">
        <v>0.82360721693120453</v>
      </c>
      <c r="C437" s="28">
        <v>7968.6678910066803</v>
      </c>
      <c r="D437" s="28">
        <v>9675.3254794175737</v>
      </c>
    </row>
    <row r="438" spans="1:4" x14ac:dyDescent="0.2">
      <c r="A438">
        <v>401</v>
      </c>
      <c r="B438" s="7">
        <v>0.93096968638988642</v>
      </c>
      <c r="C438" s="28">
        <v>7300.1688235054244</v>
      </c>
      <c r="D438" s="28">
        <v>7841.4678052665859</v>
      </c>
    </row>
    <row r="439" spans="1:4" x14ac:dyDescent="0.2">
      <c r="A439">
        <v>402</v>
      </c>
      <c r="B439" s="7">
        <v>0.78754733502752217</v>
      </c>
      <c r="C439" s="28">
        <v>6384.3971420740654</v>
      </c>
      <c r="D439" s="28">
        <v>8106.6836977499925</v>
      </c>
    </row>
    <row r="440" spans="1:4" x14ac:dyDescent="0.2">
      <c r="A440">
        <v>403</v>
      </c>
      <c r="B440" s="35">
        <v>0.72952316876713752</v>
      </c>
      <c r="C440" s="36">
        <v>8889.0383792176381</v>
      </c>
      <c r="D440" s="36">
        <v>12184.723885109403</v>
      </c>
    </row>
    <row r="441" spans="1:4" x14ac:dyDescent="0.2">
      <c r="A441">
        <v>404</v>
      </c>
      <c r="B441" s="7">
        <v>0.80829972304981723</v>
      </c>
      <c r="C441" s="28">
        <v>7021.0168025201292</v>
      </c>
      <c r="D441" s="28">
        <v>8686.1551505040024</v>
      </c>
    </row>
    <row r="442" spans="1:4" x14ac:dyDescent="0.2">
      <c r="A442">
        <v>405</v>
      </c>
      <c r="B442" s="7">
        <v>0.92476151207065005</v>
      </c>
      <c r="C442" s="28">
        <v>5561.8996384873662</v>
      </c>
      <c r="D442" s="28">
        <v>6014.4151393515685</v>
      </c>
    </row>
    <row r="443" spans="1:4" x14ac:dyDescent="0.2">
      <c r="A443">
        <v>406</v>
      </c>
      <c r="B443" s="7">
        <v>0.9578725061958826</v>
      </c>
      <c r="C443" s="28">
        <v>6937.499838519414</v>
      </c>
      <c r="D443" s="28">
        <v>7242.6129716063824</v>
      </c>
    </row>
    <row r="444" spans="1:4" x14ac:dyDescent="0.2">
      <c r="A444">
        <v>407</v>
      </c>
      <c r="B444" s="7">
        <v>1.1213569547990687</v>
      </c>
      <c r="C444" s="28">
        <v>6476.4723346921037</v>
      </c>
      <c r="D444" s="28">
        <v>5775.5670992851656</v>
      </c>
    </row>
    <row r="445" spans="1:4" x14ac:dyDescent="0.2">
      <c r="A445">
        <v>408</v>
      </c>
      <c r="B445" s="7">
        <v>0.70237186316955036</v>
      </c>
      <c r="C445" s="28">
        <v>8206.9268874672871</v>
      </c>
      <c r="D445" s="28">
        <v>11684.589485735365</v>
      </c>
    </row>
    <row r="446" spans="1:4" x14ac:dyDescent="0.2">
      <c r="A446">
        <v>409</v>
      </c>
      <c r="B446" s="7">
        <v>0.70031822012998113</v>
      </c>
      <c r="C446" s="28">
        <v>6725.4406862583892</v>
      </c>
      <c r="D446" s="28">
        <v>9603.4066984721994</v>
      </c>
    </row>
    <row r="447" spans="1:4" x14ac:dyDescent="0.2">
      <c r="A447">
        <v>410</v>
      </c>
      <c r="B447" s="7">
        <v>0.77556492064616833</v>
      </c>
      <c r="C447" s="28">
        <v>8927.8719742930534</v>
      </c>
      <c r="D447" s="28">
        <v>11511.443770374146</v>
      </c>
    </row>
    <row r="448" spans="1:4" x14ac:dyDescent="0.2">
      <c r="A448">
        <v>411</v>
      </c>
      <c r="B448" s="7">
        <v>0.55764966633717705</v>
      </c>
      <c r="C448" s="28">
        <v>7479.8918045826185</v>
      </c>
      <c r="D448" s="28">
        <v>13413.245369109536</v>
      </c>
    </row>
    <row r="449" spans="1:4" x14ac:dyDescent="0.2">
      <c r="A449">
        <v>412</v>
      </c>
      <c r="B449" s="7">
        <v>1.0893239573559867</v>
      </c>
      <c r="C449" s="28">
        <v>7761.9380976702159</v>
      </c>
      <c r="D449" s="28">
        <v>7125.4634998665006</v>
      </c>
    </row>
    <row r="450" spans="1:4" x14ac:dyDescent="0.2">
      <c r="A450">
        <v>413</v>
      </c>
      <c r="B450" s="7">
        <v>0.67717880403200326</v>
      </c>
      <c r="C450" s="28">
        <v>7682.1761595215776</v>
      </c>
      <c r="D450" s="28">
        <v>11344.383660240081</v>
      </c>
    </row>
    <row r="451" spans="1:4" x14ac:dyDescent="0.2">
      <c r="A451">
        <v>414</v>
      </c>
      <c r="B451" s="7">
        <v>0.90945786713720533</v>
      </c>
      <c r="C451" s="28">
        <v>4112.4290272664821</v>
      </c>
      <c r="D451" s="28">
        <v>4521.8466691718231</v>
      </c>
    </row>
    <row r="452" spans="1:4" x14ac:dyDescent="0.2">
      <c r="A452">
        <v>415</v>
      </c>
      <c r="B452" s="7">
        <v>1.0138709288178891</v>
      </c>
      <c r="C452" s="28">
        <v>7944.6629391382521</v>
      </c>
      <c r="D452" s="28">
        <v>7835.9707466918289</v>
      </c>
    </row>
    <row r="453" spans="1:4" x14ac:dyDescent="0.2">
      <c r="A453">
        <v>416</v>
      </c>
      <c r="B453" s="7">
        <v>0.74109267857780203</v>
      </c>
      <c r="C453" s="28">
        <v>6595.6709746542274</v>
      </c>
      <c r="D453" s="28">
        <v>8899.927317203681</v>
      </c>
    </row>
    <row r="454" spans="1:4" x14ac:dyDescent="0.2">
      <c r="A454">
        <v>417</v>
      </c>
      <c r="B454" s="7">
        <v>1.1038707123060405</v>
      </c>
      <c r="C454" s="28">
        <v>6760.1958239796404</v>
      </c>
      <c r="D454" s="28">
        <v>6124.0829642606031</v>
      </c>
    </row>
    <row r="455" spans="1:4" x14ac:dyDescent="0.2">
      <c r="A455">
        <v>418</v>
      </c>
      <c r="B455" s="7">
        <v>1.1223669287482574</v>
      </c>
      <c r="C455" s="28">
        <v>8378.2755434724277</v>
      </c>
      <c r="D455" s="28">
        <v>7464.8275255370099</v>
      </c>
    </row>
    <row r="456" spans="1:4" x14ac:dyDescent="0.2">
      <c r="A456">
        <v>419</v>
      </c>
      <c r="B456" s="7">
        <v>0.79077182527984569</v>
      </c>
      <c r="C456" s="28">
        <v>9736.188704578246</v>
      </c>
      <c r="D456" s="28">
        <v>12312.260494527247</v>
      </c>
    </row>
    <row r="457" spans="1:4" x14ac:dyDescent="0.2">
      <c r="A457">
        <v>420</v>
      </c>
      <c r="B457" s="7">
        <v>0.78237056073627631</v>
      </c>
      <c r="C457" s="29">
        <v>5786.1398619962783</v>
      </c>
      <c r="D457" s="28">
        <v>7395.6513094652173</v>
      </c>
    </row>
    <row r="458" spans="1:4" x14ac:dyDescent="0.2">
      <c r="A458">
        <v>421</v>
      </c>
      <c r="B458" s="7">
        <v>0.97314956517893592</v>
      </c>
      <c r="C458" s="28">
        <v>7390.2327659519869</v>
      </c>
      <c r="D458" s="28">
        <v>7594.1386919215474</v>
      </c>
    </row>
    <row r="459" spans="1:4" x14ac:dyDescent="0.2">
      <c r="A459">
        <v>422</v>
      </c>
      <c r="B459" s="7">
        <v>0.78134952889700493</v>
      </c>
      <c r="C459" s="28">
        <v>6419.4829253204771</v>
      </c>
      <c r="D459" s="28">
        <v>8215.8914645825207</v>
      </c>
    </row>
    <row r="460" spans="1:4" x14ac:dyDescent="0.2">
      <c r="A460">
        <v>423</v>
      </c>
      <c r="B460" s="7">
        <v>0.74051134260356655</v>
      </c>
      <c r="C460" s="28">
        <v>7662.2224065582759</v>
      </c>
      <c r="D460" s="28">
        <v>10347.204648640007</v>
      </c>
    </row>
    <row r="461" spans="1:4" x14ac:dyDescent="0.2">
      <c r="A461">
        <v>424</v>
      </c>
      <c r="B461" s="7">
        <v>0.92727380137562587</v>
      </c>
      <c r="C461" s="28">
        <v>5717.1950410251211</v>
      </c>
      <c r="D461" s="28">
        <v>6165.5953533288321</v>
      </c>
    </row>
    <row r="462" spans="1:4" x14ac:dyDescent="0.2">
      <c r="A462">
        <v>425</v>
      </c>
      <c r="B462" s="7">
        <v>0.73570046282532076</v>
      </c>
      <c r="C462" s="28">
        <v>8110.3400537622765</v>
      </c>
      <c r="D462" s="28">
        <v>11023.970302554962</v>
      </c>
    </row>
    <row r="463" spans="1:4" x14ac:dyDescent="0.2">
      <c r="A463">
        <v>426</v>
      </c>
      <c r="B463" s="7">
        <v>0.88077010775493214</v>
      </c>
      <c r="C463" s="29">
        <v>5249.8349870950588</v>
      </c>
      <c r="D463" s="28">
        <v>5960.505404159092</v>
      </c>
    </row>
    <row r="464" spans="1:4" x14ac:dyDescent="0.2">
      <c r="A464">
        <v>427</v>
      </c>
      <c r="B464" s="7">
        <v>0.63427537255298816</v>
      </c>
      <c r="C464" s="28">
        <v>8100.0605596390578</v>
      </c>
      <c r="D464" s="28">
        <v>12770.573965430714</v>
      </c>
    </row>
    <row r="465" spans="1:4" x14ac:dyDescent="0.2">
      <c r="A465">
        <v>428</v>
      </c>
      <c r="B465" s="35">
        <v>0.77500366548148492</v>
      </c>
      <c r="C465" s="36">
        <v>7393.1868475447445</v>
      </c>
      <c r="D465" s="36">
        <v>9539.5508135456294</v>
      </c>
    </row>
    <row r="466" spans="1:4" x14ac:dyDescent="0.2">
      <c r="A466">
        <v>429</v>
      </c>
      <c r="B466" s="7">
        <v>0.69958583829854426</v>
      </c>
      <c r="C466" s="28">
        <v>5988.9815412937933</v>
      </c>
      <c r="D466" s="28">
        <v>8560.7529675836995</v>
      </c>
    </row>
    <row r="467" spans="1:4" x14ac:dyDescent="0.2">
      <c r="A467">
        <v>430</v>
      </c>
      <c r="B467" s="7">
        <v>0.94590687499929782</v>
      </c>
      <c r="C467" s="28">
        <v>6463.2560014257233</v>
      </c>
      <c r="D467" s="28">
        <v>6832.86713761386</v>
      </c>
    </row>
    <row r="468" spans="1:4" x14ac:dyDescent="0.2">
      <c r="A468">
        <v>431</v>
      </c>
      <c r="B468" s="7">
        <v>1.0816202567037569</v>
      </c>
      <c r="C468" s="28">
        <v>7548.4804736302485</v>
      </c>
      <c r="D468" s="28">
        <v>6978.863817357008</v>
      </c>
    </row>
    <row r="469" spans="1:4" x14ac:dyDescent="0.2">
      <c r="A469">
        <v>432</v>
      </c>
      <c r="B469" s="7">
        <v>1.08064629015613</v>
      </c>
      <c r="C469" s="28">
        <v>4683.8745302240641</v>
      </c>
      <c r="D469" s="28">
        <v>4334.3271271003441</v>
      </c>
    </row>
    <row r="470" spans="1:4" x14ac:dyDescent="0.2">
      <c r="A470">
        <v>433</v>
      </c>
      <c r="B470" s="7">
        <v>0.86637558357171862</v>
      </c>
      <c r="C470" s="28">
        <v>5964.244269612429</v>
      </c>
      <c r="D470" s="28">
        <v>6884.1324509911101</v>
      </c>
    </row>
    <row r="471" spans="1:4" x14ac:dyDescent="0.2">
      <c r="A471">
        <v>434</v>
      </c>
      <c r="B471" s="7">
        <v>1.0112195781708708</v>
      </c>
      <c r="C471" s="28">
        <v>7422.2493554974626</v>
      </c>
      <c r="D471" s="28">
        <v>7339.898787287214</v>
      </c>
    </row>
    <row r="472" spans="1:4" x14ac:dyDescent="0.2">
      <c r="A472">
        <v>435</v>
      </c>
      <c r="B472" s="7">
        <v>0.82570260274045548</v>
      </c>
      <c r="C472" s="28">
        <v>6395.5585826410443</v>
      </c>
      <c r="D472" s="28">
        <v>7745.5957646428433</v>
      </c>
    </row>
    <row r="473" spans="1:4" x14ac:dyDescent="0.2">
      <c r="A473">
        <v>436</v>
      </c>
      <c r="B473" s="7">
        <v>0.69756814859306182</v>
      </c>
      <c r="C473" s="28">
        <v>5589.7713123824469</v>
      </c>
      <c r="D473" s="28">
        <v>8013.2261251557438</v>
      </c>
    </row>
    <row r="474" spans="1:4" x14ac:dyDescent="0.2">
      <c r="A474">
        <v>437</v>
      </c>
      <c r="B474" s="7">
        <v>1.1314960075525766</v>
      </c>
      <c r="C474" s="28">
        <v>6199.3075696566866</v>
      </c>
      <c r="D474" s="28">
        <v>5478.8594288244776</v>
      </c>
    </row>
    <row r="475" spans="1:4" x14ac:dyDescent="0.2">
      <c r="A475">
        <v>438</v>
      </c>
      <c r="B475" s="7">
        <v>0.82721401438568609</v>
      </c>
      <c r="C475" s="28">
        <v>6651.7265688067582</v>
      </c>
      <c r="D475" s="28">
        <v>8041.1192909328665</v>
      </c>
    </row>
    <row r="476" spans="1:4" x14ac:dyDescent="0.2">
      <c r="A476">
        <v>439</v>
      </c>
      <c r="B476" s="7">
        <v>0.75252368532666214</v>
      </c>
      <c r="C476" s="28">
        <v>9286.432315901824</v>
      </c>
      <c r="D476" s="28">
        <v>12340.385421716908</v>
      </c>
    </row>
    <row r="477" spans="1:4" x14ac:dyDescent="0.2">
      <c r="A477">
        <v>440</v>
      </c>
      <c r="B477" s="7">
        <v>0.9452088372041656</v>
      </c>
      <c r="C477" s="28">
        <v>6291.0387400828949</v>
      </c>
      <c r="D477" s="28">
        <v>6655.7129942745414</v>
      </c>
    </row>
    <row r="478" spans="1:4" x14ac:dyDescent="0.2">
      <c r="A478">
        <v>441</v>
      </c>
      <c r="B478" s="7">
        <v>0.70484778532319048</v>
      </c>
      <c r="C478" s="28">
        <v>6231.6773589079858</v>
      </c>
      <c r="D478" s="28">
        <v>8841.1675381098121</v>
      </c>
    </row>
    <row r="479" spans="1:4" x14ac:dyDescent="0.2">
      <c r="A479">
        <v>442</v>
      </c>
      <c r="B479" s="7">
        <v>1.0794394763734063</v>
      </c>
      <c r="C479" s="28">
        <v>6436.4519000482978</v>
      </c>
      <c r="D479" s="28">
        <v>5962.7723841199977</v>
      </c>
    </row>
    <row r="480" spans="1:4" x14ac:dyDescent="0.2">
      <c r="A480">
        <v>443</v>
      </c>
      <c r="B480" s="7">
        <v>0.72544136973998086</v>
      </c>
      <c r="C480" s="28">
        <v>6898.2640272742419</v>
      </c>
      <c r="D480" s="28">
        <v>9509.0579542586311</v>
      </c>
    </row>
    <row r="481" spans="1:4" x14ac:dyDescent="0.2">
      <c r="A481">
        <v>444</v>
      </c>
      <c r="B481" s="7">
        <v>1.0363765660008903</v>
      </c>
      <c r="C481" s="28">
        <v>4106.7218462717374</v>
      </c>
      <c r="D481" s="28">
        <v>3962.576905919937</v>
      </c>
    </row>
    <row r="482" spans="1:4" x14ac:dyDescent="0.2">
      <c r="A482">
        <v>445</v>
      </c>
      <c r="B482" s="7">
        <v>0.95824530675204134</v>
      </c>
      <c r="C482" s="28">
        <v>6881.2054167525985</v>
      </c>
      <c r="D482" s="28">
        <v>7181.0478676658959</v>
      </c>
    </row>
    <row r="483" spans="1:4" x14ac:dyDescent="0.2">
      <c r="A483">
        <v>446</v>
      </c>
      <c r="B483" s="7">
        <v>0.88976391270967436</v>
      </c>
      <c r="C483" s="28">
        <v>7288.4844635210466</v>
      </c>
      <c r="D483" s="28">
        <v>8191.4813125257006</v>
      </c>
    </row>
    <row r="484" spans="1:4" x14ac:dyDescent="0.2">
      <c r="A484">
        <v>447</v>
      </c>
      <c r="B484" s="7">
        <v>0.94144977546763098</v>
      </c>
      <c r="C484" s="28">
        <v>7910.6617605761021</v>
      </c>
      <c r="D484" s="28">
        <v>8402.6381084925833</v>
      </c>
    </row>
    <row r="485" spans="1:4" x14ac:dyDescent="0.2">
      <c r="A485">
        <v>448</v>
      </c>
      <c r="B485" s="7">
        <v>0.76930215813430625</v>
      </c>
      <c r="C485" s="28">
        <v>7897.2266214062438</v>
      </c>
      <c r="D485" s="28">
        <v>10265.44191759245</v>
      </c>
    </row>
    <row r="486" spans="1:4" x14ac:dyDescent="0.2">
      <c r="A486">
        <v>449</v>
      </c>
      <c r="B486" s="7">
        <v>0.67047054023961383</v>
      </c>
      <c r="C486" s="28">
        <v>6373.6698178295501</v>
      </c>
      <c r="D486" s="28">
        <v>9506.2637883414209</v>
      </c>
    </row>
    <row r="487" spans="1:4" x14ac:dyDescent="0.2">
      <c r="A487">
        <v>450</v>
      </c>
      <c r="B487" s="7">
        <v>0.72741762039175129</v>
      </c>
      <c r="C487" s="28">
        <v>6320.5566235759306</v>
      </c>
      <c r="D487" s="28">
        <v>8689.0342581638179</v>
      </c>
    </row>
    <row r="488" spans="1:4" x14ac:dyDescent="0.2">
      <c r="A488">
        <v>451</v>
      </c>
      <c r="B488" s="7">
        <v>0.87631450520617094</v>
      </c>
      <c r="C488" s="28">
        <v>8181.0443214497864</v>
      </c>
      <c r="D488" s="28">
        <v>9335.7399345170361</v>
      </c>
    </row>
    <row r="489" spans="1:4" x14ac:dyDescent="0.2">
      <c r="A489">
        <v>452</v>
      </c>
      <c r="B489" s="7">
        <v>1.0804779280581105</v>
      </c>
      <c r="C489" s="28">
        <v>5721.9841642579777</v>
      </c>
      <c r="D489" s="28">
        <v>5295.7899607832032</v>
      </c>
    </row>
    <row r="490" spans="1:4" x14ac:dyDescent="0.2">
      <c r="A490">
        <v>453</v>
      </c>
      <c r="B490" s="7">
        <v>0.83435558979619717</v>
      </c>
      <c r="C490" s="28">
        <v>8153.7535906195553</v>
      </c>
      <c r="D490" s="28">
        <v>9772.5162872237979</v>
      </c>
    </row>
    <row r="491" spans="1:4" x14ac:dyDescent="0.2">
      <c r="A491">
        <v>454</v>
      </c>
      <c r="B491" s="7">
        <v>0.66038278623123237</v>
      </c>
      <c r="C491" s="28">
        <v>7670.6656264850171</v>
      </c>
      <c r="D491" s="28">
        <v>11615.483907842416</v>
      </c>
    </row>
    <row r="492" spans="1:4" x14ac:dyDescent="0.2">
      <c r="A492">
        <v>455</v>
      </c>
      <c r="B492" s="7">
        <v>1.0331910501983979</v>
      </c>
      <c r="C492" s="28">
        <v>6117.1535531491154</v>
      </c>
      <c r="D492" s="28">
        <v>5920.6412521425473</v>
      </c>
    </row>
    <row r="493" spans="1:4" x14ac:dyDescent="0.2">
      <c r="A493">
        <v>456</v>
      </c>
      <c r="B493" s="7">
        <v>0.72966491095656494</v>
      </c>
      <c r="C493" s="28">
        <v>6994.6216923422307</v>
      </c>
      <c r="D493" s="28">
        <v>9586.0738091030416</v>
      </c>
    </row>
    <row r="494" spans="1:4" x14ac:dyDescent="0.2">
      <c r="A494">
        <v>457</v>
      </c>
      <c r="B494" s="7">
        <v>0.83449334630930405</v>
      </c>
      <c r="C494" s="28">
        <v>7895.3028696146121</v>
      </c>
      <c r="D494" s="28">
        <v>9461.1933151210851</v>
      </c>
    </row>
    <row r="495" spans="1:4" x14ac:dyDescent="0.2">
      <c r="A495">
        <v>458</v>
      </c>
      <c r="B495" s="7">
        <v>1.0135931081576892</v>
      </c>
      <c r="C495" s="28">
        <v>7187.1368653410545</v>
      </c>
      <c r="D495" s="28">
        <v>7090.7515131041318</v>
      </c>
    </row>
    <row r="496" spans="1:4" x14ac:dyDescent="0.2">
      <c r="A496">
        <v>459</v>
      </c>
      <c r="B496" s="7">
        <v>0.88595605178739767</v>
      </c>
      <c r="C496" s="28">
        <v>9020.5639160382088</v>
      </c>
      <c r="D496" s="28">
        <v>10181.728425286346</v>
      </c>
    </row>
    <row r="497" spans="1:4" x14ac:dyDescent="0.2">
      <c r="A497">
        <v>460</v>
      </c>
      <c r="B497" s="7">
        <v>0.86257308796566878</v>
      </c>
      <c r="C497" s="28">
        <v>8135.2865337166304</v>
      </c>
      <c r="D497" s="28">
        <v>9431.4170558036494</v>
      </c>
    </row>
    <row r="498" spans="1:4" x14ac:dyDescent="0.2">
      <c r="A498">
        <v>461</v>
      </c>
      <c r="B498" s="7">
        <v>0.92772013307469159</v>
      </c>
      <c r="C498" s="28">
        <v>8193.1314722585903</v>
      </c>
      <c r="D498" s="28">
        <v>8831.4688666985676</v>
      </c>
    </row>
    <row r="499" spans="1:4" x14ac:dyDescent="0.2">
      <c r="A499">
        <v>462</v>
      </c>
      <c r="B499" s="7">
        <v>0.69906595661339388</v>
      </c>
      <c r="C499" s="29">
        <v>6793.3768309800898</v>
      </c>
      <c r="D499" s="28">
        <v>9717.7909562216701</v>
      </c>
    </row>
    <row r="500" spans="1:4" x14ac:dyDescent="0.2">
      <c r="A500">
        <v>463</v>
      </c>
      <c r="B500" s="7">
        <v>0.83704920369445723</v>
      </c>
      <c r="C500" s="28">
        <v>4968.572166718177</v>
      </c>
      <c r="D500" s="28">
        <v>5935.8185215260337</v>
      </c>
    </row>
    <row r="501" spans="1:4" x14ac:dyDescent="0.2">
      <c r="A501">
        <v>464</v>
      </c>
      <c r="B501" s="7">
        <v>0.85018408541390134</v>
      </c>
      <c r="C501" s="28">
        <v>8779.5087738716811</v>
      </c>
      <c r="D501" s="28">
        <v>10326.597409309878</v>
      </c>
    </row>
    <row r="502" spans="1:4" x14ac:dyDescent="0.2">
      <c r="A502">
        <v>465</v>
      </c>
      <c r="B502" s="7">
        <v>0.78485343489472292</v>
      </c>
      <c r="C502" s="28">
        <v>6384.8665575106115</v>
      </c>
      <c r="D502" s="28">
        <v>8135.1068538892896</v>
      </c>
    </row>
    <row r="503" spans="1:4" x14ac:dyDescent="0.2">
      <c r="A503">
        <v>466</v>
      </c>
      <c r="B503" s="7">
        <v>0.8082341200915506</v>
      </c>
      <c r="C503" s="28">
        <v>8117.7854072661739</v>
      </c>
      <c r="D503" s="28">
        <v>10043.853885241386</v>
      </c>
    </row>
    <row r="504" spans="1:4" x14ac:dyDescent="0.2">
      <c r="A504">
        <v>467</v>
      </c>
      <c r="B504" s="7">
        <v>1.1055980027916847</v>
      </c>
      <c r="C504" s="28">
        <v>6030.9948057383281</v>
      </c>
      <c r="D504" s="28">
        <v>5454.9617406234402</v>
      </c>
    </row>
    <row r="505" spans="1:4" x14ac:dyDescent="0.2">
      <c r="A505">
        <v>468</v>
      </c>
      <c r="B505" s="7">
        <v>0.60499217566341734</v>
      </c>
      <c r="C505" s="29">
        <v>8332.4768738473213</v>
      </c>
      <c r="D505" s="28">
        <v>13772.867169249193</v>
      </c>
    </row>
    <row r="506" spans="1:4" x14ac:dyDescent="0.2">
      <c r="A506">
        <v>469</v>
      </c>
      <c r="B506" s="7">
        <v>0.69795559926245332</v>
      </c>
      <c r="C506" s="28">
        <v>6810.057951435605</v>
      </c>
      <c r="D506" s="28">
        <v>9757.1506821235598</v>
      </c>
    </row>
    <row r="507" spans="1:4" x14ac:dyDescent="0.2">
      <c r="A507">
        <v>470</v>
      </c>
      <c r="B507" s="7">
        <v>0.89080875755287803</v>
      </c>
      <c r="C507" s="28">
        <v>7073.0395112363512</v>
      </c>
      <c r="D507" s="28">
        <v>7940.0201797146101</v>
      </c>
    </row>
    <row r="508" spans="1:4" x14ac:dyDescent="0.2">
      <c r="A508">
        <v>471</v>
      </c>
      <c r="B508" s="7">
        <v>0.76451622770140926</v>
      </c>
      <c r="C508" s="28">
        <v>7362.9206925443905</v>
      </c>
      <c r="D508" s="28">
        <v>9630.8232915888675</v>
      </c>
    </row>
    <row r="509" spans="1:4" x14ac:dyDescent="0.2">
      <c r="A509">
        <v>472</v>
      </c>
      <c r="B509" s="35">
        <v>0.90101077238647509</v>
      </c>
      <c r="C509" s="36">
        <v>6045.7306812749666</v>
      </c>
      <c r="D509" s="36">
        <v>6709.9427293880799</v>
      </c>
    </row>
    <row r="510" spans="1:4" x14ac:dyDescent="0.2">
      <c r="A510">
        <v>473</v>
      </c>
      <c r="B510" s="7">
        <v>0.92492604727149796</v>
      </c>
      <c r="C510" s="28">
        <v>6474.3925463691703</v>
      </c>
      <c r="D510" s="28">
        <v>6999.9029278810121</v>
      </c>
    </row>
    <row r="511" spans="1:4" x14ac:dyDescent="0.2">
      <c r="A511">
        <v>474</v>
      </c>
      <c r="B511" s="7">
        <v>0.86258214591352722</v>
      </c>
      <c r="C511" s="28">
        <v>7083.5658890263985</v>
      </c>
      <c r="D511" s="28">
        <v>8212.0478873632019</v>
      </c>
    </row>
    <row r="512" spans="1:4" x14ac:dyDescent="0.2">
      <c r="A512">
        <v>475</v>
      </c>
      <c r="B512" s="7">
        <v>0.9081847689700755</v>
      </c>
      <c r="C512" s="28">
        <v>6499.8075327565675</v>
      </c>
      <c r="D512" s="28">
        <v>7156.9219775923539</v>
      </c>
    </row>
    <row r="513" spans="1:4" x14ac:dyDescent="0.2">
      <c r="A513">
        <v>476</v>
      </c>
      <c r="B513" s="7">
        <v>0.75095532439569546</v>
      </c>
      <c r="C513" s="28">
        <v>5530.3305354405893</v>
      </c>
      <c r="D513" s="28">
        <v>7364.3935341838423</v>
      </c>
    </row>
    <row r="514" spans="1:4" x14ac:dyDescent="0.2">
      <c r="A514">
        <v>477</v>
      </c>
      <c r="B514" s="7">
        <v>0.83875429006720204</v>
      </c>
      <c r="C514" s="28">
        <v>8096.7587739118953</v>
      </c>
      <c r="D514" s="28">
        <v>9653.3142897703365</v>
      </c>
    </row>
    <row r="515" spans="1:4" x14ac:dyDescent="0.2">
      <c r="A515">
        <v>478</v>
      </c>
      <c r="B515" s="7">
        <v>0.6843252858019806</v>
      </c>
      <c r="C515" s="28">
        <v>5942.7122104341925</v>
      </c>
      <c r="D515" s="28">
        <v>8684.0459263020748</v>
      </c>
    </row>
    <row r="516" spans="1:4" x14ac:dyDescent="0.2">
      <c r="A516">
        <v>479</v>
      </c>
      <c r="B516" s="7">
        <v>1.0329787131500545</v>
      </c>
      <c r="C516" s="28">
        <v>5313.0226384083198</v>
      </c>
      <c r="D516" s="28">
        <v>5143.3999275806273</v>
      </c>
    </row>
    <row r="517" spans="1:4" x14ac:dyDescent="0.2">
      <c r="A517">
        <v>480</v>
      </c>
      <c r="B517" s="7">
        <v>0.74750502700306587</v>
      </c>
      <c r="C517" s="28">
        <v>8365.9440322238897</v>
      </c>
      <c r="D517" s="28">
        <v>11191.823104876024</v>
      </c>
    </row>
    <row r="518" spans="1:4" x14ac:dyDescent="0.2">
      <c r="A518">
        <v>481</v>
      </c>
      <c r="B518" s="7">
        <v>1.1381251325334087</v>
      </c>
      <c r="C518" s="28">
        <v>5414.3092609256291</v>
      </c>
      <c r="D518" s="28">
        <v>4757.2179070271932</v>
      </c>
    </row>
    <row r="519" spans="1:4" x14ac:dyDescent="0.2">
      <c r="A519">
        <v>482</v>
      </c>
      <c r="B519" s="7">
        <v>0.63912469215996381</v>
      </c>
      <c r="C519" s="28">
        <v>5757.1163199233852</v>
      </c>
      <c r="D519" s="28">
        <v>9007.813953278559</v>
      </c>
    </row>
    <row r="520" spans="1:4" x14ac:dyDescent="0.2">
      <c r="A520">
        <v>483</v>
      </c>
      <c r="B520" s="7">
        <v>0.80451699118542397</v>
      </c>
      <c r="C520" s="28">
        <v>7283.4621542360437</v>
      </c>
      <c r="D520" s="28">
        <v>9053.2110993754777</v>
      </c>
    </row>
    <row r="521" spans="1:4" x14ac:dyDescent="0.2">
      <c r="A521">
        <v>484</v>
      </c>
      <c r="B521" s="7">
        <v>0.86147190986276811</v>
      </c>
      <c r="C521" s="28">
        <v>7828.3598265481032</v>
      </c>
      <c r="D521" s="28">
        <v>9087.1910470013536</v>
      </c>
    </row>
    <row r="522" spans="1:4" x14ac:dyDescent="0.2">
      <c r="A522">
        <v>485</v>
      </c>
      <c r="B522" s="7">
        <v>0.61268442775582876</v>
      </c>
      <c r="C522" s="29">
        <v>7206.9059356109483</v>
      </c>
      <c r="D522" s="28">
        <v>11762.835171131677</v>
      </c>
    </row>
    <row r="523" spans="1:4" x14ac:dyDescent="0.2">
      <c r="A523">
        <v>486</v>
      </c>
      <c r="B523" s="7">
        <v>0.86986884425561151</v>
      </c>
      <c r="C523" s="28">
        <v>7267.6391386759115</v>
      </c>
      <c r="D523" s="28">
        <v>8354.86773284216</v>
      </c>
    </row>
    <row r="524" spans="1:4" x14ac:dyDescent="0.2">
      <c r="A524">
        <v>487</v>
      </c>
      <c r="B524" s="7">
        <v>0.77399860812636234</v>
      </c>
      <c r="C524" s="28">
        <v>6052.3853258203235</v>
      </c>
      <c r="D524" s="28">
        <v>7819.6333459455218</v>
      </c>
    </row>
    <row r="525" spans="1:4" x14ac:dyDescent="0.2">
      <c r="A525">
        <v>488</v>
      </c>
      <c r="B525" s="7">
        <v>0.96613823314311009</v>
      </c>
      <c r="C525" s="28">
        <v>6319.2242948384901</v>
      </c>
      <c r="D525" s="28">
        <v>6540.7040918775538</v>
      </c>
    </row>
    <row r="526" spans="1:4" x14ac:dyDescent="0.2">
      <c r="A526">
        <v>489</v>
      </c>
      <c r="B526" s="7">
        <v>0.69765108872171311</v>
      </c>
      <c r="C526" s="28">
        <v>7841.7125520881655</v>
      </c>
      <c r="D526" s="28">
        <v>11240.163856773046</v>
      </c>
    </row>
    <row r="527" spans="1:4" x14ac:dyDescent="0.2">
      <c r="A527">
        <v>490</v>
      </c>
      <c r="B527" s="7">
        <v>0.63911095871382884</v>
      </c>
      <c r="C527" s="28">
        <v>7212.9352641286659</v>
      </c>
      <c r="D527" s="28">
        <v>11285.888883276624</v>
      </c>
    </row>
    <row r="528" spans="1:4" x14ac:dyDescent="0.2">
      <c r="A528">
        <v>491</v>
      </c>
      <c r="B528" s="7">
        <v>1.0497587327897433</v>
      </c>
      <c r="C528" s="28">
        <v>5743.0076730151632</v>
      </c>
      <c r="D528" s="28">
        <v>5470.788185541518</v>
      </c>
    </row>
    <row r="529" spans="1:4" x14ac:dyDescent="0.2">
      <c r="A529">
        <v>492</v>
      </c>
      <c r="B529" s="7">
        <v>0.95349491625317384</v>
      </c>
      <c r="C529" s="28">
        <v>7809.6275727478751</v>
      </c>
      <c r="D529" s="28">
        <v>8190.5288005481589</v>
      </c>
    </row>
    <row r="530" spans="1:4" x14ac:dyDescent="0.2">
      <c r="A530">
        <v>493</v>
      </c>
      <c r="B530" s="7">
        <v>1.1178662054903246</v>
      </c>
      <c r="C530" s="28">
        <v>4989.946367222281</v>
      </c>
      <c r="D530" s="28">
        <v>4463.8135965775646</v>
      </c>
    </row>
    <row r="531" spans="1:4" x14ac:dyDescent="0.2">
      <c r="A531">
        <v>494</v>
      </c>
      <c r="B531" s="7">
        <v>1.0373246697981209</v>
      </c>
      <c r="C531" s="28">
        <v>6130.6549696091442</v>
      </c>
      <c r="D531" s="28">
        <v>5910.0637901557502</v>
      </c>
    </row>
    <row r="532" spans="1:4" x14ac:dyDescent="0.2">
      <c r="A532">
        <v>495</v>
      </c>
      <c r="B532" s="7">
        <v>0.67370290586034987</v>
      </c>
      <c r="C532" s="28">
        <v>8273.1775803395412</v>
      </c>
      <c r="D532" s="28">
        <v>12280.157185568778</v>
      </c>
    </row>
    <row r="533" spans="1:4" x14ac:dyDescent="0.2">
      <c r="A533">
        <v>496</v>
      </c>
      <c r="B533" s="35">
        <v>0.92833151923403712</v>
      </c>
      <c r="C533" s="36">
        <v>5347.8667951490752</v>
      </c>
      <c r="D533" s="36">
        <v>5760.7295285649461</v>
      </c>
    </row>
    <row r="534" spans="1:4" x14ac:dyDescent="0.2">
      <c r="A534">
        <v>497</v>
      </c>
      <c r="B534" s="7">
        <v>1.1534024824722549</v>
      </c>
      <c r="C534" s="28">
        <v>4937.6105842752495</v>
      </c>
      <c r="D534" s="28">
        <v>4280.9085807512329</v>
      </c>
    </row>
    <row r="535" spans="1:4" x14ac:dyDescent="0.2">
      <c r="A535">
        <v>498</v>
      </c>
      <c r="B535" s="7">
        <v>0.95807581256115792</v>
      </c>
      <c r="C535" s="28">
        <v>7075.0978555155853</v>
      </c>
      <c r="D535" s="28">
        <v>7384.695201314199</v>
      </c>
    </row>
    <row r="536" spans="1:4" x14ac:dyDescent="0.2">
      <c r="A536">
        <v>499</v>
      </c>
      <c r="B536" s="7">
        <v>0.76108868381667882</v>
      </c>
      <c r="C536" s="28">
        <v>7720.9846529548568</v>
      </c>
      <c r="D536" s="28">
        <v>10144.658325802395</v>
      </c>
    </row>
    <row r="537" spans="1:4" x14ac:dyDescent="0.2">
      <c r="A537">
        <v>500</v>
      </c>
      <c r="B537" s="7">
        <v>0.94979285244846601</v>
      </c>
      <c r="C537" s="28">
        <v>6469.125362810255</v>
      </c>
      <c r="D537" s="28">
        <v>6811.0908037826675</v>
      </c>
    </row>
    <row r="538" spans="1:4" x14ac:dyDescent="0.2">
      <c r="A538">
        <v>501</v>
      </c>
      <c r="B538" s="7">
        <v>0.98665940626303694</v>
      </c>
      <c r="C538" s="28">
        <v>6335.1164934890567</v>
      </c>
      <c r="D538" s="28">
        <v>6420.7734232051262</v>
      </c>
    </row>
    <row r="539" spans="1:4" x14ac:dyDescent="0.2">
      <c r="A539">
        <v>502</v>
      </c>
      <c r="B539" s="7">
        <v>0.86386730241278542</v>
      </c>
      <c r="C539" s="28">
        <v>6117.1375883395867</v>
      </c>
      <c r="D539" s="28">
        <v>7081.1079100394154</v>
      </c>
    </row>
    <row r="540" spans="1:4" x14ac:dyDescent="0.2">
      <c r="A540">
        <v>503</v>
      </c>
      <c r="B540" s="7">
        <v>0.75336594881706276</v>
      </c>
      <c r="C540" s="28">
        <v>6038.2675446850862</v>
      </c>
      <c r="D540" s="28">
        <v>8015.052384789079</v>
      </c>
    </row>
    <row r="541" spans="1:4" x14ac:dyDescent="0.2">
      <c r="A541">
        <v>504</v>
      </c>
      <c r="B541" s="7">
        <v>0.79799277081679776</v>
      </c>
      <c r="C541" s="28">
        <v>7787.050354447083</v>
      </c>
      <c r="D541" s="28">
        <v>9758.2968658682566</v>
      </c>
    </row>
    <row r="542" spans="1:4" x14ac:dyDescent="0.2">
      <c r="A542">
        <v>505</v>
      </c>
      <c r="B542" s="7">
        <v>0.86005634419112376</v>
      </c>
      <c r="C542" s="28">
        <v>6751.2614936083964</v>
      </c>
      <c r="D542" s="28">
        <v>7849.789771573518</v>
      </c>
    </row>
    <row r="543" spans="1:4" x14ac:dyDescent="0.2">
      <c r="A543">
        <v>506</v>
      </c>
      <c r="B543" s="35">
        <v>0.80420550262843005</v>
      </c>
      <c r="C543" s="36">
        <v>7495.0384173241127</v>
      </c>
      <c r="D543" s="36">
        <v>9319.8049414330762</v>
      </c>
    </row>
    <row r="544" spans="1:4" x14ac:dyDescent="0.2">
      <c r="A544">
        <v>507</v>
      </c>
      <c r="B544" s="7">
        <v>0.99606662939840529</v>
      </c>
      <c r="C544" s="28">
        <v>6916.4254314580285</v>
      </c>
      <c r="D544" s="28">
        <v>6943.7377252918759</v>
      </c>
    </row>
    <row r="545" spans="1:4" x14ac:dyDescent="0.2">
      <c r="A545">
        <v>508</v>
      </c>
      <c r="B545" s="7">
        <v>0.91129854554361245</v>
      </c>
      <c r="C545" s="28">
        <v>9705.5226213420046</v>
      </c>
      <c r="D545" s="28">
        <v>10650.211907835775</v>
      </c>
    </row>
    <row r="546" spans="1:4" x14ac:dyDescent="0.2">
      <c r="A546">
        <v>509</v>
      </c>
      <c r="B546" s="7">
        <v>0.96874157346364598</v>
      </c>
      <c r="C546" s="28">
        <v>6898.7911814727613</v>
      </c>
      <c r="D546" s="28">
        <v>7121.3947769442484</v>
      </c>
    </row>
    <row r="547" spans="1:4" x14ac:dyDescent="0.2">
      <c r="A547">
        <v>510</v>
      </c>
      <c r="B547" s="7">
        <v>0.81896800988749874</v>
      </c>
      <c r="C547" s="28">
        <v>8325.0141430281092</v>
      </c>
      <c r="D547" s="28">
        <v>10165.24948779344</v>
      </c>
    </row>
    <row r="548" spans="1:4" x14ac:dyDescent="0.2">
      <c r="A548">
        <v>511</v>
      </c>
      <c r="B548" s="7">
        <v>1.1413631251505887</v>
      </c>
      <c r="C548" s="28">
        <v>5895.3043527698665</v>
      </c>
      <c r="D548" s="28">
        <v>5165.1435225682926</v>
      </c>
    </row>
    <row r="549" spans="1:4" x14ac:dyDescent="0.2">
      <c r="A549">
        <v>512</v>
      </c>
      <c r="B549" s="7">
        <v>0.89021029500869719</v>
      </c>
      <c r="C549" s="28">
        <v>5615.173498262473</v>
      </c>
      <c r="D549" s="28">
        <v>6307.6932829760344</v>
      </c>
    </row>
    <row r="550" spans="1:4" x14ac:dyDescent="0.2">
      <c r="A550">
        <v>513</v>
      </c>
      <c r="B550" s="7">
        <v>0.72643371840426951</v>
      </c>
      <c r="C550" s="28">
        <v>7593.2163846600361</v>
      </c>
      <c r="D550" s="28">
        <v>10452.73118838671</v>
      </c>
    </row>
    <row r="551" spans="1:4" x14ac:dyDescent="0.2">
      <c r="A551">
        <v>514</v>
      </c>
      <c r="B551" s="7">
        <v>0.42806671779685246</v>
      </c>
      <c r="C551" s="28">
        <v>6643.2252973735067</v>
      </c>
      <c r="D551" s="28">
        <v>15519.135268362959</v>
      </c>
    </row>
    <row r="552" spans="1:4" x14ac:dyDescent="0.2">
      <c r="A552">
        <v>515</v>
      </c>
      <c r="B552" s="7">
        <v>1.0642367911393062</v>
      </c>
      <c r="C552" s="28">
        <v>7128.6877574387599</v>
      </c>
      <c r="D552" s="28">
        <v>6698.4037920801693</v>
      </c>
    </row>
    <row r="553" spans="1:4" x14ac:dyDescent="0.2">
      <c r="A553">
        <v>516</v>
      </c>
      <c r="B553" s="7">
        <v>0.78124418259515593</v>
      </c>
      <c r="C553" s="28">
        <v>7211.7958299425063</v>
      </c>
      <c r="D553" s="28">
        <v>9231.1674001669835</v>
      </c>
    </row>
    <row r="554" spans="1:4" x14ac:dyDescent="0.2">
      <c r="A554">
        <v>517</v>
      </c>
      <c r="B554" s="7">
        <v>1.0321613626877895</v>
      </c>
      <c r="C554" s="28">
        <v>4588.0993017568107</v>
      </c>
      <c r="D554" s="28">
        <v>4445.1376186076341</v>
      </c>
    </row>
    <row r="555" spans="1:4" x14ac:dyDescent="0.2">
      <c r="A555">
        <v>518</v>
      </c>
      <c r="B555" s="7">
        <v>1.0377217877303968</v>
      </c>
      <c r="C555" s="28">
        <v>6931.8440396516635</v>
      </c>
      <c r="D555" s="28">
        <v>6679.8674959039954</v>
      </c>
    </row>
    <row r="556" spans="1:4" x14ac:dyDescent="0.2">
      <c r="A556">
        <v>519</v>
      </c>
      <c r="B556" s="7">
        <v>0.75836759442038471</v>
      </c>
      <c r="C556" s="28">
        <v>5677.6849199664957</v>
      </c>
      <c r="D556" s="28">
        <v>7486.7187914403339</v>
      </c>
    </row>
    <row r="557" spans="1:4" x14ac:dyDescent="0.2">
      <c r="A557">
        <v>520</v>
      </c>
      <c r="B557" s="7">
        <v>0.9745444416734248</v>
      </c>
      <c r="C557" s="28">
        <v>7293.8418824620649</v>
      </c>
      <c r="D557" s="28">
        <v>7484.3604566022159</v>
      </c>
    </row>
    <row r="558" spans="1:4" x14ac:dyDescent="0.2">
      <c r="A558">
        <v>521</v>
      </c>
      <c r="B558" s="7">
        <v>0.98992939747440278</v>
      </c>
      <c r="C558" s="28">
        <v>5400.3132476923256</v>
      </c>
      <c r="D558" s="28">
        <v>5455.2509112974039</v>
      </c>
    </row>
    <row r="559" spans="1:4" x14ac:dyDescent="0.2">
      <c r="A559">
        <v>522</v>
      </c>
      <c r="B559" s="7">
        <v>0.78880602600415095</v>
      </c>
      <c r="C559" s="28">
        <v>6962.6595437278684</v>
      </c>
      <c r="D559" s="28">
        <v>8826.8336120586737</v>
      </c>
    </row>
    <row r="560" spans="1:4" x14ac:dyDescent="0.2">
      <c r="A560">
        <v>523</v>
      </c>
      <c r="B560" s="7">
        <v>0.68757493073297127</v>
      </c>
      <c r="C560" s="28">
        <v>8114.7559864134491</v>
      </c>
      <c r="D560" s="28">
        <v>11801.995133480108</v>
      </c>
    </row>
    <row r="561" spans="1:4" x14ac:dyDescent="0.2">
      <c r="A561">
        <v>524</v>
      </c>
      <c r="B561" s="7">
        <v>0.91637212851552974</v>
      </c>
      <c r="C561" s="28">
        <v>5589.9744183083531</v>
      </c>
      <c r="D561" s="28">
        <v>6100.1139650152727</v>
      </c>
    </row>
    <row r="562" spans="1:4" x14ac:dyDescent="0.2">
      <c r="A562">
        <v>525</v>
      </c>
      <c r="B562" s="7">
        <v>0.85453356796022018</v>
      </c>
      <c r="C562" s="28">
        <v>6580.157976307888</v>
      </c>
      <c r="D562" s="28">
        <v>7700.2919756736865</v>
      </c>
    </row>
    <row r="563" spans="1:4" x14ac:dyDescent="0.2">
      <c r="A563">
        <v>526</v>
      </c>
      <c r="B563" s="7">
        <v>0.80387631145389449</v>
      </c>
      <c r="C563" s="28">
        <v>6605.9410556343519</v>
      </c>
      <c r="D563" s="28">
        <v>8217.6088056218687</v>
      </c>
    </row>
    <row r="564" spans="1:4" x14ac:dyDescent="0.2">
      <c r="A564">
        <v>527</v>
      </c>
      <c r="B564" s="7">
        <v>0.99128957961874864</v>
      </c>
      <c r="C564" s="28">
        <v>5999.0285395696174</v>
      </c>
      <c r="D564" s="28">
        <v>6051.7417542882395</v>
      </c>
    </row>
    <row r="565" spans="1:4" x14ac:dyDescent="0.2">
      <c r="A565">
        <v>528</v>
      </c>
      <c r="B565" s="7">
        <v>0.98978280113027051</v>
      </c>
      <c r="C565" s="28">
        <v>6519.2925357537806</v>
      </c>
      <c r="D565" s="28">
        <v>6586.5890257025612</v>
      </c>
    </row>
    <row r="566" spans="1:4" x14ac:dyDescent="0.2">
      <c r="A566">
        <v>529</v>
      </c>
      <c r="B566" s="7">
        <v>1.1645170597944183</v>
      </c>
      <c r="C566" s="28">
        <v>4988.7377332100659</v>
      </c>
      <c r="D566" s="28">
        <v>4283.9541862021051</v>
      </c>
    </row>
    <row r="567" spans="1:4" x14ac:dyDescent="0.2">
      <c r="A567">
        <v>530</v>
      </c>
      <c r="B567" s="7">
        <v>1.0271664902282449</v>
      </c>
      <c r="C567" s="28">
        <v>6937.5795605051844</v>
      </c>
      <c r="D567" s="28">
        <v>6754.094517787079</v>
      </c>
    </row>
    <row r="568" spans="1:4" x14ac:dyDescent="0.2">
      <c r="A568">
        <v>531</v>
      </c>
      <c r="B568" s="7">
        <v>0.94830668562673548</v>
      </c>
      <c r="C568" s="28">
        <v>6827.1899370386263</v>
      </c>
      <c r="D568" s="28">
        <v>7199.3481017446793</v>
      </c>
    </row>
    <row r="569" spans="1:4" x14ac:dyDescent="0.2">
      <c r="A569">
        <v>532</v>
      </c>
      <c r="B569" s="7">
        <v>0.80206912301876976</v>
      </c>
      <c r="C569" s="28">
        <v>7359.6140162345546</v>
      </c>
      <c r="D569" s="28">
        <v>9175.7852347375883</v>
      </c>
    </row>
    <row r="570" spans="1:4" x14ac:dyDescent="0.2">
      <c r="A570">
        <v>533</v>
      </c>
      <c r="B570" s="7">
        <v>0.75314694439667207</v>
      </c>
      <c r="C570" s="28">
        <v>7352.5087987694606</v>
      </c>
      <c r="D570" s="28">
        <v>9762.382830430759</v>
      </c>
    </row>
    <row r="571" spans="1:4" x14ac:dyDescent="0.2">
      <c r="A571">
        <v>534</v>
      </c>
      <c r="B571" s="7">
        <v>0.56729350238572174</v>
      </c>
      <c r="C571" s="28">
        <v>7332.9198682604601</v>
      </c>
      <c r="D571" s="28">
        <v>12926.148170959596</v>
      </c>
    </row>
    <row r="572" spans="1:4" x14ac:dyDescent="0.2">
      <c r="A572">
        <v>535</v>
      </c>
      <c r="B572" s="7">
        <v>0.73964157531714569</v>
      </c>
      <c r="C572" s="28">
        <v>8621.5508874433635</v>
      </c>
      <c r="D572" s="28">
        <v>11656.390304650722</v>
      </c>
    </row>
    <row r="573" spans="1:4" x14ac:dyDescent="0.2">
      <c r="A573">
        <v>536</v>
      </c>
      <c r="B573" s="7">
        <v>0.89284445916742339</v>
      </c>
      <c r="C573" s="28">
        <v>7734.7239138038431</v>
      </c>
      <c r="D573" s="28">
        <v>8663.0138479175494</v>
      </c>
    </row>
    <row r="574" spans="1:4" x14ac:dyDescent="0.2">
      <c r="A574">
        <v>537</v>
      </c>
      <c r="B574" s="7">
        <v>0.82646522555619217</v>
      </c>
      <c r="C574" s="28">
        <v>5498.9454227186088</v>
      </c>
      <c r="D574" s="28">
        <v>6653.571442183722</v>
      </c>
    </row>
    <row r="575" spans="1:4" x14ac:dyDescent="0.2">
      <c r="A575">
        <v>538</v>
      </c>
      <c r="B575" s="7">
        <v>0.92545899565950762</v>
      </c>
      <c r="C575" s="28">
        <v>7415.0607399320652</v>
      </c>
      <c r="D575" s="28">
        <v>8012.3060823974038</v>
      </c>
    </row>
    <row r="576" spans="1:4" x14ac:dyDescent="0.2">
      <c r="A576">
        <v>539</v>
      </c>
      <c r="B576" s="7">
        <v>0.86495001973285746</v>
      </c>
      <c r="C576" s="28">
        <v>8922.5068027408543</v>
      </c>
      <c r="D576" s="28">
        <v>10315.63281020168</v>
      </c>
    </row>
    <row r="577" spans="1:4" x14ac:dyDescent="0.2">
      <c r="A577">
        <v>540</v>
      </c>
      <c r="B577" s="7">
        <v>0.91260846942017615</v>
      </c>
      <c r="C577" s="28">
        <v>7789.2466809822545</v>
      </c>
      <c r="D577" s="28">
        <v>8535.146168357538</v>
      </c>
    </row>
    <row r="578" spans="1:4" x14ac:dyDescent="0.2">
      <c r="A578">
        <v>541</v>
      </c>
      <c r="B578" s="7">
        <v>0.78044501435349467</v>
      </c>
      <c r="C578" s="28">
        <v>6928.635196447156</v>
      </c>
      <c r="D578" s="28">
        <v>8877.800574056715</v>
      </c>
    </row>
    <row r="579" spans="1:4" x14ac:dyDescent="0.2">
      <c r="A579">
        <v>542</v>
      </c>
      <c r="B579" s="7">
        <v>0.58530418600841294</v>
      </c>
      <c r="C579" s="28">
        <v>6886.7547001440053</v>
      </c>
      <c r="D579" s="28">
        <v>11766.112159746313</v>
      </c>
    </row>
    <row r="580" spans="1:4" x14ac:dyDescent="0.2">
      <c r="A580">
        <v>543</v>
      </c>
      <c r="B580" s="7">
        <v>1.1158850680594439</v>
      </c>
      <c r="C580" s="28">
        <v>7932.3340918807962</v>
      </c>
      <c r="D580" s="28">
        <v>7108.5583264191828</v>
      </c>
    </row>
    <row r="581" spans="1:4" x14ac:dyDescent="0.2">
      <c r="A581">
        <v>544</v>
      </c>
      <c r="B581" s="7">
        <v>1.0439137506652605</v>
      </c>
      <c r="C581" s="28">
        <v>6494.8511133924403</v>
      </c>
      <c r="D581" s="28">
        <v>6221.6357522385651</v>
      </c>
    </row>
    <row r="582" spans="1:4" x14ac:dyDescent="0.2">
      <c r="A582">
        <v>545</v>
      </c>
      <c r="B582" s="7">
        <v>0.82079747088941346</v>
      </c>
      <c r="C582" s="28">
        <v>4879.7240546296089</v>
      </c>
      <c r="D582" s="28">
        <v>5945.1012310527176</v>
      </c>
    </row>
    <row r="583" spans="1:4" x14ac:dyDescent="0.2">
      <c r="A583">
        <v>546</v>
      </c>
      <c r="B583" s="7">
        <v>0.90758785967276889</v>
      </c>
      <c r="C583" s="28">
        <v>7856.5965355438548</v>
      </c>
      <c r="D583" s="28">
        <v>8656.5685644765599</v>
      </c>
    </row>
    <row r="584" spans="1:4" x14ac:dyDescent="0.2">
      <c r="A584">
        <v>547</v>
      </c>
      <c r="B584" s="7">
        <v>0.72699072895851824</v>
      </c>
      <c r="C584" s="28">
        <v>7284.1539338438924</v>
      </c>
      <c r="D584" s="28">
        <v>10019.596734444083</v>
      </c>
    </row>
    <row r="585" spans="1:4" x14ac:dyDescent="0.2">
      <c r="A585">
        <v>548</v>
      </c>
      <c r="B585" s="7">
        <v>0.6605264726822373</v>
      </c>
      <c r="C585" s="28">
        <v>7579.7693561517835</v>
      </c>
      <c r="D585" s="28">
        <v>11475.345303530659</v>
      </c>
    </row>
    <row r="586" spans="1:4" x14ac:dyDescent="0.2">
      <c r="A586">
        <v>549</v>
      </c>
      <c r="B586" s="7">
        <v>0.67590785476096293</v>
      </c>
      <c r="C586" s="28">
        <v>7679.7614577149343</v>
      </c>
      <c r="D586" s="28">
        <v>11362.142640628001</v>
      </c>
    </row>
    <row r="587" spans="1:4" x14ac:dyDescent="0.2">
      <c r="A587">
        <v>550</v>
      </c>
      <c r="B587" s="7">
        <v>0.73750573169325939</v>
      </c>
      <c r="C587" s="28">
        <v>7782.3329276813074</v>
      </c>
      <c r="D587" s="28">
        <v>10552.233824425524</v>
      </c>
    </row>
    <row r="588" spans="1:4" x14ac:dyDescent="0.2">
      <c r="A588">
        <v>551</v>
      </c>
      <c r="B588" s="7">
        <v>0.95390828582583698</v>
      </c>
      <c r="C588" s="28">
        <v>5172.1756068883751</v>
      </c>
      <c r="D588" s="28">
        <v>5422.0889824964815</v>
      </c>
    </row>
    <row r="589" spans="1:4" x14ac:dyDescent="0.2">
      <c r="A589">
        <v>552</v>
      </c>
      <c r="B589" s="7">
        <v>0.63446610333315867</v>
      </c>
      <c r="C589" s="28">
        <v>7420.7335273166755</v>
      </c>
      <c r="D589" s="28">
        <v>11696.028343093441</v>
      </c>
    </row>
    <row r="590" spans="1:4" x14ac:dyDescent="0.2">
      <c r="A590">
        <v>553</v>
      </c>
      <c r="B590" s="7">
        <v>0.86338005643511728</v>
      </c>
      <c r="C590" s="28">
        <v>4673.7051523897062</v>
      </c>
      <c r="D590" s="28">
        <v>5413.2651287862282</v>
      </c>
    </row>
    <row r="591" spans="1:4" x14ac:dyDescent="0.2">
      <c r="A591">
        <v>554</v>
      </c>
      <c r="B591" s="7">
        <v>0.81156566423774734</v>
      </c>
      <c r="C591" s="28">
        <v>6275.4745675347895</v>
      </c>
      <c r="D591" s="28">
        <v>7732.5530688005983</v>
      </c>
    </row>
    <row r="592" spans="1:4" x14ac:dyDescent="0.2">
      <c r="A592">
        <v>555</v>
      </c>
      <c r="B592" s="7">
        <v>0.92071745124065973</v>
      </c>
      <c r="C592" s="28">
        <v>7531.0791940540821</v>
      </c>
      <c r="D592" s="28">
        <v>8179.5768983264197</v>
      </c>
    </row>
    <row r="593" spans="1:4" x14ac:dyDescent="0.2">
      <c r="A593">
        <v>556</v>
      </c>
      <c r="B593" s="7">
        <v>1.0012531363188062</v>
      </c>
      <c r="C593" s="28">
        <v>6816.4192005883833</v>
      </c>
      <c r="D593" s="28">
        <v>6807.8879888951342</v>
      </c>
    </row>
    <row r="594" spans="1:4" x14ac:dyDescent="0.2">
      <c r="A594">
        <v>557</v>
      </c>
      <c r="B594" s="7">
        <v>1.0701016083773434</v>
      </c>
      <c r="C594" s="28">
        <v>7816.0659311454892</v>
      </c>
      <c r="D594" s="28">
        <v>7304.0409153271339</v>
      </c>
    </row>
    <row r="595" spans="1:4" x14ac:dyDescent="0.2">
      <c r="A595">
        <v>558</v>
      </c>
      <c r="B595" s="7">
        <v>0.68916081043911959</v>
      </c>
      <c r="C595" s="28">
        <v>7114.1340769718936</v>
      </c>
      <c r="D595" s="28">
        <v>10322.894118774555</v>
      </c>
    </row>
    <row r="596" spans="1:4" x14ac:dyDescent="0.2">
      <c r="A596">
        <v>559</v>
      </c>
      <c r="B596" s="7">
        <v>0.69092350116880574</v>
      </c>
      <c r="C596" s="28">
        <v>7382.8013733084117</v>
      </c>
      <c r="D596" s="28">
        <v>10685.410701502036</v>
      </c>
    </row>
    <row r="597" spans="1:4" x14ac:dyDescent="0.2">
      <c r="A597">
        <v>560</v>
      </c>
      <c r="B597" s="7">
        <v>0.72356870718467459</v>
      </c>
      <c r="C597" s="28">
        <v>7968.550280275912</v>
      </c>
      <c r="D597" s="28">
        <v>11012.845360989499</v>
      </c>
    </row>
    <row r="598" spans="1:4" x14ac:dyDescent="0.2">
      <c r="A598">
        <v>561</v>
      </c>
      <c r="B598" s="7">
        <v>0.83329191136236869</v>
      </c>
      <c r="C598" s="28">
        <v>4656.0862826978282</v>
      </c>
      <c r="D598" s="28">
        <v>5587.5812775927252</v>
      </c>
    </row>
    <row r="599" spans="1:4" x14ac:dyDescent="0.2">
      <c r="A599">
        <v>562</v>
      </c>
      <c r="B599" s="7">
        <v>0.9921073313810691</v>
      </c>
      <c r="C599" s="28">
        <v>6685.6741715347762</v>
      </c>
      <c r="D599" s="28">
        <v>6738.861774388808</v>
      </c>
    </row>
    <row r="600" spans="1:4" x14ac:dyDescent="0.2">
      <c r="A600">
        <v>563</v>
      </c>
      <c r="B600" s="7">
        <v>0.8615994844923005</v>
      </c>
      <c r="C600" s="28">
        <v>6206.8312440988266</v>
      </c>
      <c r="D600" s="28">
        <v>7203.8474439852016</v>
      </c>
    </row>
    <row r="601" spans="1:4" x14ac:dyDescent="0.2">
      <c r="A601">
        <v>564</v>
      </c>
      <c r="B601" s="7">
        <v>0.83496518234123762</v>
      </c>
      <c r="C601" s="28">
        <v>8600.5021769808773</v>
      </c>
      <c r="D601" s="28">
        <v>10300.432112468592</v>
      </c>
    </row>
    <row r="602" spans="1:4" x14ac:dyDescent="0.2">
      <c r="A602">
        <v>565</v>
      </c>
      <c r="B602" s="7">
        <v>1.0089643886101802</v>
      </c>
      <c r="C602" s="28">
        <v>5316.044008458377</v>
      </c>
      <c r="D602" s="28">
        <v>5268.8123272428638</v>
      </c>
    </row>
    <row r="603" spans="1:4" x14ac:dyDescent="0.2">
      <c r="A603">
        <v>566</v>
      </c>
      <c r="B603" s="7">
        <v>0.95127152570776641</v>
      </c>
      <c r="C603" s="28">
        <v>5800.4348880864254</v>
      </c>
      <c r="D603" s="28">
        <v>6097.559667594147</v>
      </c>
    </row>
    <row r="604" spans="1:4" x14ac:dyDescent="0.2">
      <c r="A604">
        <v>567</v>
      </c>
      <c r="B604" s="7">
        <v>0.78929603843691432</v>
      </c>
      <c r="C604" s="28">
        <v>6745.7694139301711</v>
      </c>
      <c r="D604" s="28">
        <v>8546.5643882986969</v>
      </c>
    </row>
    <row r="605" spans="1:4" x14ac:dyDescent="0.2">
      <c r="A605">
        <v>568</v>
      </c>
      <c r="B605" s="7">
        <v>0.85780796024271044</v>
      </c>
      <c r="C605" s="28">
        <v>8395.9121456673111</v>
      </c>
      <c r="D605" s="28">
        <v>9787.6360849947687</v>
      </c>
    </row>
    <row r="606" spans="1:4" x14ac:dyDescent="0.2">
      <c r="A606">
        <v>569</v>
      </c>
      <c r="B606" s="7">
        <v>1.0744575224778234</v>
      </c>
      <c r="C606" s="28">
        <v>8668.2494672316989</v>
      </c>
      <c r="D606" s="28">
        <v>8067.5590108408496</v>
      </c>
    </row>
    <row r="607" spans="1:4" x14ac:dyDescent="0.2">
      <c r="A607">
        <v>570</v>
      </c>
      <c r="B607" s="7">
        <v>0.65674409505451159</v>
      </c>
      <c r="C607" s="28">
        <v>10232.507743658953</v>
      </c>
      <c r="D607" s="28">
        <v>15580.661966682206</v>
      </c>
    </row>
    <row r="608" spans="1:4" x14ac:dyDescent="0.2">
      <c r="A608">
        <v>571</v>
      </c>
      <c r="B608" s="7">
        <v>0.88034196761197592</v>
      </c>
      <c r="C608" s="28">
        <v>9582.9229121678018</v>
      </c>
      <c r="D608" s="28">
        <v>10885.455044432938</v>
      </c>
    </row>
    <row r="609" spans="1:4" x14ac:dyDescent="0.2">
      <c r="A609">
        <v>572</v>
      </c>
      <c r="B609" s="7">
        <v>0.9429219085470999</v>
      </c>
      <c r="C609" s="28">
        <v>6639.3830562660187</v>
      </c>
      <c r="D609" s="28">
        <v>7041.2862359898963</v>
      </c>
    </row>
    <row r="610" spans="1:4" x14ac:dyDescent="0.2">
      <c r="A610">
        <v>573</v>
      </c>
      <c r="B610" s="7">
        <v>0.85768078677833959</v>
      </c>
      <c r="C610" s="28">
        <v>6030.580489646718</v>
      </c>
      <c r="D610" s="28">
        <v>7031.264524764586</v>
      </c>
    </row>
    <row r="611" spans="1:4" x14ac:dyDescent="0.2">
      <c r="A611">
        <v>574</v>
      </c>
      <c r="B611" s="7">
        <v>0.81872433729599425</v>
      </c>
      <c r="C611" s="28">
        <v>6203.6078679226721</v>
      </c>
      <c r="D611" s="28">
        <v>7577.1631369984243</v>
      </c>
    </row>
    <row r="612" spans="1:4" x14ac:dyDescent="0.2">
      <c r="A612">
        <v>575</v>
      </c>
      <c r="B612" s="7">
        <v>0.76680322721260907</v>
      </c>
      <c r="C612" s="28">
        <v>8425.2642754888802</v>
      </c>
      <c r="D612" s="28">
        <v>10987.518018299674</v>
      </c>
    </row>
    <row r="613" spans="1:4" x14ac:dyDescent="0.2">
      <c r="A613">
        <v>576</v>
      </c>
      <c r="B613" s="7">
        <v>0.8524062691908334</v>
      </c>
      <c r="C613" s="28">
        <v>7602.5903701139032</v>
      </c>
      <c r="D613" s="28">
        <v>8918.9751939891758</v>
      </c>
    </row>
    <row r="614" spans="1:4" x14ac:dyDescent="0.2">
      <c r="A614">
        <v>577</v>
      </c>
      <c r="B614" s="7">
        <v>0.89181177176809889</v>
      </c>
      <c r="C614" s="28">
        <v>5550.9277474183273</v>
      </c>
      <c r="D614" s="28">
        <v>6224.3266159327568</v>
      </c>
    </row>
    <row r="615" spans="1:4" x14ac:dyDescent="0.2">
      <c r="A615">
        <v>578</v>
      </c>
      <c r="B615" s="7">
        <v>0.91472122142329759</v>
      </c>
      <c r="C615" s="28">
        <v>5826.8480338301006</v>
      </c>
      <c r="D615" s="28">
        <v>6370.0807386578172</v>
      </c>
    </row>
    <row r="616" spans="1:4" x14ac:dyDescent="0.2">
      <c r="A616">
        <v>579</v>
      </c>
      <c r="B616" s="35">
        <v>0.84303157525858641</v>
      </c>
      <c r="C616" s="36">
        <v>7365.9831447973629</v>
      </c>
      <c r="D616" s="36">
        <v>8737.4937795633159</v>
      </c>
    </row>
    <row r="617" spans="1:4" x14ac:dyDescent="0.2">
      <c r="A617">
        <v>580</v>
      </c>
      <c r="B617" s="7">
        <v>0.62796193609055173</v>
      </c>
      <c r="C617" s="28">
        <v>8287.2282007305748</v>
      </c>
      <c r="D617" s="28">
        <v>13197.023138573739</v>
      </c>
    </row>
    <row r="618" spans="1:4" x14ac:dyDescent="0.2">
      <c r="A618">
        <v>581</v>
      </c>
      <c r="B618" s="7">
        <v>0.9619081380134471</v>
      </c>
      <c r="C618" s="28">
        <v>6958.2295180469464</v>
      </c>
      <c r="D618" s="28">
        <v>7233.7775750782484</v>
      </c>
    </row>
    <row r="619" spans="1:4" x14ac:dyDescent="0.2">
      <c r="A619">
        <v>582</v>
      </c>
      <c r="B619" s="7">
        <v>0.79474684065758971</v>
      </c>
      <c r="C619" s="28">
        <v>6225.8525039097221</v>
      </c>
      <c r="D619" s="28">
        <v>7833.7555878275971</v>
      </c>
    </row>
    <row r="620" spans="1:4" x14ac:dyDescent="0.2">
      <c r="A620">
        <v>583</v>
      </c>
      <c r="B620" s="7">
        <v>1.1377018400305952</v>
      </c>
      <c r="C620" s="28">
        <v>7530.4292259999747</v>
      </c>
      <c r="D620" s="28">
        <v>6618.9830771456482</v>
      </c>
    </row>
    <row r="621" spans="1:4" x14ac:dyDescent="0.2">
      <c r="A621">
        <v>584</v>
      </c>
      <c r="B621" s="7">
        <v>0.59980277130654081</v>
      </c>
      <c r="C621" s="28">
        <v>4695.3461937522316</v>
      </c>
      <c r="D621" s="28">
        <v>7828.1502159858883</v>
      </c>
    </row>
    <row r="622" spans="1:4" x14ac:dyDescent="0.2">
      <c r="A622">
        <v>585</v>
      </c>
      <c r="B622" s="7">
        <v>0.80059902003794114</v>
      </c>
      <c r="C622" s="28">
        <v>6354.6311855579306</v>
      </c>
      <c r="D622" s="28">
        <v>7937.3456955477895</v>
      </c>
    </row>
    <row r="623" spans="1:4" x14ac:dyDescent="0.2">
      <c r="A623">
        <v>586</v>
      </c>
      <c r="B623" s="7">
        <v>1.0324062110109988</v>
      </c>
      <c r="C623" s="28">
        <v>5478.7457500359851</v>
      </c>
      <c r="D623" s="28">
        <v>5306.7733335998082</v>
      </c>
    </row>
    <row r="624" spans="1:4" x14ac:dyDescent="0.2">
      <c r="A624">
        <v>587</v>
      </c>
      <c r="B624" s="7">
        <v>0.92211011480397698</v>
      </c>
      <c r="C624" s="28">
        <v>6043.8515695901633</v>
      </c>
      <c r="D624" s="28">
        <v>6554.3707552486512</v>
      </c>
    </row>
    <row r="625" spans="1:4" x14ac:dyDescent="0.2">
      <c r="A625">
        <v>588</v>
      </c>
      <c r="B625" s="7">
        <v>0.74996090645754521</v>
      </c>
      <c r="C625" s="28">
        <v>7308.2097744926541</v>
      </c>
      <c r="D625" s="28">
        <v>9744.787643682821</v>
      </c>
    </row>
    <row r="626" spans="1:4" x14ac:dyDescent="0.2">
      <c r="A626">
        <v>589</v>
      </c>
      <c r="B626" s="7">
        <v>0.7064487152502501</v>
      </c>
      <c r="C626" s="28">
        <v>6552.6537844878694</v>
      </c>
      <c r="D626" s="28">
        <v>9275.4840415651106</v>
      </c>
    </row>
    <row r="627" spans="1:4" x14ac:dyDescent="0.2">
      <c r="A627">
        <v>590</v>
      </c>
      <c r="B627" s="7">
        <v>0.76896839778469328</v>
      </c>
      <c r="C627" s="28">
        <v>6333.2747793396884</v>
      </c>
      <c r="D627" s="28">
        <v>8236.0663943864292</v>
      </c>
    </row>
    <row r="628" spans="1:4" x14ac:dyDescent="0.2">
      <c r="A628">
        <v>591</v>
      </c>
      <c r="B628" s="7">
        <v>1.0067895329097354</v>
      </c>
      <c r="C628" s="28">
        <v>5037.7419897961681</v>
      </c>
      <c r="D628" s="28">
        <v>5003.768737281689</v>
      </c>
    </row>
    <row r="629" spans="1:4" x14ac:dyDescent="0.2">
      <c r="A629">
        <v>592</v>
      </c>
      <c r="B629" s="7">
        <v>0.64012761818658426</v>
      </c>
      <c r="C629" s="28">
        <v>7487.6161413706232</v>
      </c>
      <c r="D629" s="28">
        <v>11697.067785611673</v>
      </c>
    </row>
    <row r="630" spans="1:4" x14ac:dyDescent="0.2">
      <c r="A630">
        <v>593</v>
      </c>
      <c r="B630" s="7">
        <v>0.6299510572387188</v>
      </c>
      <c r="C630" s="28">
        <v>8166.4210273578956</v>
      </c>
      <c r="D630" s="28">
        <v>12963.58015994764</v>
      </c>
    </row>
    <row r="631" spans="1:4" x14ac:dyDescent="0.2">
      <c r="A631">
        <v>594</v>
      </c>
      <c r="B631" s="7">
        <v>0.76715621115269705</v>
      </c>
      <c r="C631" s="28">
        <v>5421.8909434796005</v>
      </c>
      <c r="D631" s="28">
        <v>7067.51879820264</v>
      </c>
    </row>
    <row r="632" spans="1:4" x14ac:dyDescent="0.2">
      <c r="A632">
        <v>595</v>
      </c>
      <c r="B632" s="7">
        <v>0.81201535890895649</v>
      </c>
      <c r="C632" s="28">
        <v>7731.7640437049977</v>
      </c>
      <c r="D632" s="28">
        <v>9521.6967990526482</v>
      </c>
    </row>
    <row r="633" spans="1:4" x14ac:dyDescent="0.2">
      <c r="A633">
        <v>596</v>
      </c>
      <c r="B633" s="7">
        <v>1.0134607922752474</v>
      </c>
      <c r="C633" s="28">
        <v>8494.690366288527</v>
      </c>
      <c r="D633" s="28">
        <v>8381.8638382820045</v>
      </c>
    </row>
    <row r="634" spans="1:4" x14ac:dyDescent="0.2">
      <c r="A634">
        <v>597</v>
      </c>
      <c r="B634" s="7">
        <v>0.80239010142178913</v>
      </c>
      <c r="C634" s="28">
        <v>7541.7545661354125</v>
      </c>
      <c r="D634" s="28">
        <v>9399.1121684724894</v>
      </c>
    </row>
    <row r="635" spans="1:4" x14ac:dyDescent="0.2">
      <c r="A635">
        <v>598</v>
      </c>
      <c r="B635" s="7">
        <v>0.77634194517876765</v>
      </c>
      <c r="C635" s="28">
        <v>7938.1237549435027</v>
      </c>
      <c r="D635" s="28">
        <v>10225.03524927485</v>
      </c>
    </row>
    <row r="636" spans="1:4" x14ac:dyDescent="0.2">
      <c r="A636">
        <v>599</v>
      </c>
      <c r="B636" s="7">
        <v>0.97851412370475632</v>
      </c>
      <c r="C636" s="28">
        <v>7715.7020666923108</v>
      </c>
      <c r="D636" s="28">
        <v>7885.1207967033315</v>
      </c>
    </row>
    <row r="637" spans="1:4" x14ac:dyDescent="0.2">
      <c r="A637">
        <v>600</v>
      </c>
      <c r="B637" s="7">
        <v>1.0232315742524154</v>
      </c>
      <c r="C637" s="28">
        <v>6737.8064052968421</v>
      </c>
      <c r="D637" s="28">
        <v>6584.8304282630843</v>
      </c>
    </row>
    <row r="638" spans="1:4" x14ac:dyDescent="0.2">
      <c r="A638">
        <v>601</v>
      </c>
      <c r="B638" s="7">
        <v>0.87065789486419476</v>
      </c>
      <c r="C638" s="28">
        <v>6415.9800099567583</v>
      </c>
      <c r="D638" s="28">
        <v>7369.1171329211029</v>
      </c>
    </row>
    <row r="639" spans="1:4" x14ac:dyDescent="0.2">
      <c r="A639">
        <v>602</v>
      </c>
      <c r="B639" s="7">
        <v>0.79941885490168119</v>
      </c>
      <c r="C639" s="28">
        <v>5165.0906604627507</v>
      </c>
      <c r="D639" s="28">
        <v>6461.0568399690728</v>
      </c>
    </row>
    <row r="640" spans="1:4" x14ac:dyDescent="0.2">
      <c r="A640">
        <v>603</v>
      </c>
      <c r="B640" s="7">
        <v>1.0147650592432633</v>
      </c>
      <c r="C640" s="28">
        <v>8939.4729177478894</v>
      </c>
      <c r="D640" s="28">
        <v>8809.4015814993545</v>
      </c>
    </row>
    <row r="641" spans="1:4" x14ac:dyDescent="0.2">
      <c r="A641">
        <v>604</v>
      </c>
      <c r="B641" s="7">
        <v>0.85428035375105971</v>
      </c>
      <c r="C641" s="28">
        <v>7273.5432362226493</v>
      </c>
      <c r="D641" s="28">
        <v>8514.2344714884839</v>
      </c>
    </row>
    <row r="642" spans="1:4" x14ac:dyDescent="0.2">
      <c r="A642">
        <v>605</v>
      </c>
      <c r="B642" s="7">
        <v>0.56879033335988893</v>
      </c>
      <c r="C642" s="28">
        <v>7468.8813851591931</v>
      </c>
      <c r="D642" s="28">
        <v>13131.167931494067</v>
      </c>
    </row>
    <row r="643" spans="1:4" x14ac:dyDescent="0.2">
      <c r="A643">
        <v>606</v>
      </c>
      <c r="B643" s="7">
        <v>0.81053641347142769</v>
      </c>
      <c r="C643" s="28">
        <v>8573.5435999024194</v>
      </c>
      <c r="D643" s="28">
        <v>10577.616819438115</v>
      </c>
    </row>
    <row r="644" spans="1:4" x14ac:dyDescent="0.2">
      <c r="A644">
        <v>607</v>
      </c>
      <c r="B644" s="7">
        <v>0.75943176604447515</v>
      </c>
      <c r="C644" s="28">
        <v>8542.1949367420093</v>
      </c>
      <c r="D644" s="28">
        <v>11248.140147250235</v>
      </c>
    </row>
    <row r="645" spans="1:4" x14ac:dyDescent="0.2">
      <c r="A645">
        <v>608</v>
      </c>
      <c r="B645" s="7">
        <v>0.96199234609634043</v>
      </c>
      <c r="C645" s="28">
        <v>6395.7505446612449</v>
      </c>
      <c r="D645" s="28">
        <v>6648.4422361721481</v>
      </c>
    </row>
    <row r="646" spans="1:4" x14ac:dyDescent="0.2">
      <c r="A646">
        <v>609</v>
      </c>
      <c r="B646" s="7">
        <v>0.87757566957852617</v>
      </c>
      <c r="C646" s="28">
        <v>5718.6638884445056</v>
      </c>
      <c r="D646" s="28">
        <v>6516.4339517195276</v>
      </c>
    </row>
    <row r="647" spans="1:4" x14ac:dyDescent="0.2">
      <c r="A647">
        <v>610</v>
      </c>
      <c r="B647" s="7">
        <v>0.72198117528026451</v>
      </c>
      <c r="C647" s="28">
        <v>6086.7637281174102</v>
      </c>
      <c r="D647" s="28">
        <v>8430.6404883127325</v>
      </c>
    </row>
    <row r="648" spans="1:4" x14ac:dyDescent="0.2">
      <c r="A648">
        <v>611</v>
      </c>
      <c r="B648" s="7">
        <v>0.98680580269878249</v>
      </c>
      <c r="C648" s="28">
        <v>7218.6145483233959</v>
      </c>
      <c r="D648" s="28">
        <v>7315.1318411195452</v>
      </c>
    </row>
    <row r="649" spans="1:4" x14ac:dyDescent="0.2">
      <c r="A649">
        <v>612</v>
      </c>
      <c r="B649" s="35">
        <v>0.74384382708599617</v>
      </c>
      <c r="C649" s="36">
        <v>7634.7043168768068</v>
      </c>
      <c r="D649" s="36">
        <v>10263.853834461081</v>
      </c>
    </row>
    <row r="650" spans="1:4" x14ac:dyDescent="0.2">
      <c r="A650">
        <v>613</v>
      </c>
      <c r="B650" s="7">
        <v>0.5917393405907827</v>
      </c>
      <c r="C650" s="28">
        <v>7041.232633039348</v>
      </c>
      <c r="D650" s="28">
        <v>11899.213302278498</v>
      </c>
    </row>
    <row r="651" spans="1:4" x14ac:dyDescent="0.2">
      <c r="A651">
        <v>614</v>
      </c>
      <c r="B651" s="7">
        <v>0.95858221592204007</v>
      </c>
      <c r="C651" s="28">
        <v>8345.6954637847539</v>
      </c>
      <c r="D651" s="28">
        <v>8706.2907335050077</v>
      </c>
    </row>
    <row r="652" spans="1:4" x14ac:dyDescent="0.2">
      <c r="A652">
        <v>615</v>
      </c>
      <c r="B652" s="7">
        <v>0.89826367632514081</v>
      </c>
      <c r="C652" s="28">
        <v>5444.7465772325904</v>
      </c>
      <c r="D652" s="28">
        <v>6061.4123900761824</v>
      </c>
    </row>
    <row r="653" spans="1:4" x14ac:dyDescent="0.2">
      <c r="A653">
        <v>616</v>
      </c>
      <c r="B653" s="7">
        <v>0.83090808143880501</v>
      </c>
      <c r="C653" s="28">
        <v>6841.4788798292439</v>
      </c>
      <c r="D653" s="28">
        <v>8233.7373202370363</v>
      </c>
    </row>
    <row r="654" spans="1:4" x14ac:dyDescent="0.2">
      <c r="A654">
        <v>617</v>
      </c>
      <c r="B654" s="7">
        <v>1.1787340418924996</v>
      </c>
      <c r="C654" s="28">
        <v>7594.3955860262586</v>
      </c>
      <c r="D654" s="28">
        <v>6442.8406375989489</v>
      </c>
    </row>
    <row r="655" spans="1:4" x14ac:dyDescent="0.2">
      <c r="A655">
        <v>618</v>
      </c>
      <c r="B655" s="7">
        <v>0.68286203824770553</v>
      </c>
      <c r="C655" s="28">
        <v>5967.2731382107431</v>
      </c>
      <c r="D655" s="28">
        <v>8738.6218650012852</v>
      </c>
    </row>
    <row r="656" spans="1:4" x14ac:dyDescent="0.2">
      <c r="A656">
        <v>619</v>
      </c>
      <c r="B656" s="7">
        <v>0.87016710543080666</v>
      </c>
      <c r="C656" s="28">
        <v>6088.3408613580468</v>
      </c>
      <c r="D656" s="28">
        <v>6996.749042063364</v>
      </c>
    </row>
    <row r="657" spans="1:4" x14ac:dyDescent="0.2">
      <c r="A657">
        <v>620</v>
      </c>
      <c r="B657" s="7">
        <v>0.86551526065078033</v>
      </c>
      <c r="C657" s="28">
        <v>7357.1202765680982</v>
      </c>
      <c r="D657" s="28">
        <v>8500.2779396821788</v>
      </c>
    </row>
    <row r="658" spans="1:4" x14ac:dyDescent="0.2">
      <c r="A658">
        <v>621</v>
      </c>
      <c r="B658" s="7">
        <v>0.98149460653849996</v>
      </c>
      <c r="C658" s="28">
        <v>6148.5970399725929</v>
      </c>
      <c r="D658" s="28">
        <v>6264.5245312730194</v>
      </c>
    </row>
    <row r="659" spans="1:4" x14ac:dyDescent="0.2">
      <c r="A659">
        <v>622</v>
      </c>
      <c r="B659" s="7">
        <v>0.66321328188359274</v>
      </c>
      <c r="C659" s="28">
        <v>6295.5689407047048</v>
      </c>
      <c r="D659" s="28">
        <v>9492.5254253422863</v>
      </c>
    </row>
    <row r="660" spans="1:4" x14ac:dyDescent="0.2">
      <c r="A660">
        <v>623</v>
      </c>
      <c r="B660" s="7">
        <v>1.0228498205896068</v>
      </c>
      <c r="C660" s="28">
        <v>7294.6973217084706</v>
      </c>
      <c r="D660" s="28">
        <v>7131.7383792505816</v>
      </c>
    </row>
    <row r="661" spans="1:4" x14ac:dyDescent="0.2">
      <c r="A661">
        <v>624</v>
      </c>
      <c r="B661" s="7">
        <v>0.83116420549876313</v>
      </c>
      <c r="C661" s="28">
        <v>5981.32000656542</v>
      </c>
      <c r="D661" s="28">
        <v>7196.3156822618021</v>
      </c>
    </row>
    <row r="662" spans="1:4" x14ac:dyDescent="0.2">
      <c r="A662">
        <v>625</v>
      </c>
      <c r="B662" s="7">
        <v>0.69839637373469365</v>
      </c>
      <c r="C662" s="28">
        <v>6038.4288815722211</v>
      </c>
      <c r="D662" s="28">
        <v>8646.1343567429449</v>
      </c>
    </row>
    <row r="663" spans="1:4" x14ac:dyDescent="0.2">
      <c r="A663">
        <v>626</v>
      </c>
      <c r="B663" s="7">
        <v>0.83632581160498276</v>
      </c>
      <c r="C663" s="28">
        <v>6384.4767410809982</v>
      </c>
      <c r="D663" s="28">
        <v>7633.9587425008749</v>
      </c>
    </row>
    <row r="664" spans="1:4" x14ac:dyDescent="0.2">
      <c r="A664">
        <v>627</v>
      </c>
      <c r="B664" s="7">
        <v>1.0559483960206038</v>
      </c>
      <c r="C664" s="28">
        <v>7916.5093915193884</v>
      </c>
      <c r="D664" s="28">
        <v>7497.0608614522871</v>
      </c>
    </row>
    <row r="665" spans="1:4" x14ac:dyDescent="0.2">
      <c r="A665">
        <v>628</v>
      </c>
      <c r="B665" s="7">
        <v>0.81588118742837423</v>
      </c>
      <c r="C665" s="28">
        <v>6471.7266248738106</v>
      </c>
      <c r="D665" s="28">
        <v>7932.1924865953106</v>
      </c>
    </row>
    <row r="666" spans="1:4" x14ac:dyDescent="0.2">
      <c r="A666">
        <v>629</v>
      </c>
      <c r="B666" s="7">
        <v>0.70335729853351658</v>
      </c>
      <c r="C666" s="28">
        <v>7006.2933730864333</v>
      </c>
      <c r="D666" s="28">
        <v>9961.2151429926016</v>
      </c>
    </row>
    <row r="667" spans="1:4" x14ac:dyDescent="0.2">
      <c r="A667">
        <v>630</v>
      </c>
      <c r="B667" s="7">
        <v>0.69221325867644179</v>
      </c>
      <c r="C667" s="28">
        <v>6544.2068676564613</v>
      </c>
      <c r="D667" s="28">
        <v>9454.0328224417772</v>
      </c>
    </row>
    <row r="668" spans="1:4" x14ac:dyDescent="0.2">
      <c r="A668">
        <v>631</v>
      </c>
      <c r="B668" s="7">
        <v>0.48737491048338022</v>
      </c>
      <c r="C668" s="28">
        <v>8205.3846096461293</v>
      </c>
      <c r="D668" s="28">
        <v>16835.878156936717</v>
      </c>
    </row>
    <row r="669" spans="1:4" x14ac:dyDescent="0.2">
      <c r="A669">
        <v>632</v>
      </c>
      <c r="B669" s="7">
        <v>0.78523229925599836</v>
      </c>
      <c r="C669" s="28">
        <v>8648.7094543334661</v>
      </c>
      <c r="D669" s="28">
        <v>11014.204920668766</v>
      </c>
    </row>
    <row r="670" spans="1:4" x14ac:dyDescent="0.2">
      <c r="A670">
        <v>633</v>
      </c>
      <c r="B670" s="7">
        <v>0.59209072179301092</v>
      </c>
      <c r="C670" s="28">
        <v>6109.1317791523597</v>
      </c>
      <c r="D670" s="28">
        <v>10317.898177245972</v>
      </c>
    </row>
    <row r="671" spans="1:4" x14ac:dyDescent="0.2">
      <c r="A671">
        <v>634</v>
      </c>
      <c r="B671" s="7">
        <v>1.0412547816764723</v>
      </c>
      <c r="C671" s="28">
        <v>5754.5658377769905</v>
      </c>
      <c r="D671" s="28">
        <v>5526.5684624389924</v>
      </c>
    </row>
    <row r="672" spans="1:4" x14ac:dyDescent="0.2">
      <c r="A672">
        <v>635</v>
      </c>
      <c r="B672" s="7">
        <v>0.59566916080678034</v>
      </c>
      <c r="C672" s="28">
        <v>8821.3450758833933</v>
      </c>
      <c r="D672" s="28">
        <v>14809.135097636537</v>
      </c>
    </row>
    <row r="673" spans="1:4" x14ac:dyDescent="0.2">
      <c r="A673">
        <v>636</v>
      </c>
      <c r="B673" s="7">
        <v>0.92413555500908728</v>
      </c>
      <c r="C673" s="28">
        <v>6780.2407683977635</v>
      </c>
      <c r="D673" s="28">
        <v>7336.8465607094749</v>
      </c>
    </row>
    <row r="674" spans="1:4" x14ac:dyDescent="0.2">
      <c r="A674">
        <v>637</v>
      </c>
      <c r="B674" s="7">
        <v>0.94180208173048285</v>
      </c>
      <c r="C674" s="28">
        <v>7518.7975538027658</v>
      </c>
      <c r="D674" s="28">
        <v>7983.4157299669605</v>
      </c>
    </row>
    <row r="675" spans="1:4" x14ac:dyDescent="0.2">
      <c r="A675">
        <v>638</v>
      </c>
      <c r="B675" s="7">
        <v>0.90456582034788635</v>
      </c>
      <c r="C675" s="28">
        <v>8184.5202497437622</v>
      </c>
      <c r="D675" s="28">
        <v>9048.0096258734193</v>
      </c>
    </row>
    <row r="676" spans="1:4" x14ac:dyDescent="0.2">
      <c r="A676">
        <v>639</v>
      </c>
      <c r="B676" s="7">
        <v>1.1135378702059047</v>
      </c>
      <c r="C676" s="28">
        <v>5066.462228317785</v>
      </c>
      <c r="D676" s="28">
        <v>4549.8786919397216</v>
      </c>
    </row>
    <row r="677" spans="1:4" x14ac:dyDescent="0.2">
      <c r="A677">
        <v>640</v>
      </c>
      <c r="B677" s="7">
        <v>0.88168181944170865</v>
      </c>
      <c r="C677" s="28">
        <v>6172.6016240878389</v>
      </c>
      <c r="D677" s="28">
        <v>7000.9401214560639</v>
      </c>
    </row>
    <row r="678" spans="1:4" x14ac:dyDescent="0.2">
      <c r="A678">
        <v>641</v>
      </c>
      <c r="B678" s="7">
        <v>0.8573340004189749</v>
      </c>
      <c r="C678" s="28">
        <v>6591.342484600269</v>
      </c>
      <c r="D678" s="28">
        <v>7688.1850963324823</v>
      </c>
    </row>
    <row r="679" spans="1:4" x14ac:dyDescent="0.2">
      <c r="A679">
        <v>642</v>
      </c>
      <c r="B679" s="7">
        <v>0.74337298257988849</v>
      </c>
      <c r="C679" s="28">
        <v>5928.0543041297478</v>
      </c>
      <c r="D679" s="28">
        <v>7974.5355871776983</v>
      </c>
    </row>
    <row r="680" spans="1:4" x14ac:dyDescent="0.2">
      <c r="A680">
        <v>643</v>
      </c>
      <c r="B680" s="7">
        <v>0.95789212869989715</v>
      </c>
      <c r="C680" s="28">
        <v>7443.2265248185267</v>
      </c>
      <c r="D680" s="28">
        <v>7770.4224743143832</v>
      </c>
    </row>
    <row r="681" spans="1:4" x14ac:dyDescent="0.2">
      <c r="A681">
        <v>644</v>
      </c>
      <c r="B681" s="7">
        <v>0.76079608507899366</v>
      </c>
      <c r="C681" s="28">
        <v>6473.0528202951082</v>
      </c>
      <c r="D681" s="28">
        <v>8508.2625255925304</v>
      </c>
    </row>
    <row r="682" spans="1:4" x14ac:dyDescent="0.2">
      <c r="A682">
        <v>645</v>
      </c>
      <c r="B682" s="7">
        <v>0.78791660751421944</v>
      </c>
      <c r="C682" s="28">
        <v>7459.5856522056174</v>
      </c>
      <c r="D682" s="28">
        <v>9467.4811789279302</v>
      </c>
    </row>
    <row r="683" spans="1:4" x14ac:dyDescent="0.2">
      <c r="A683">
        <v>646</v>
      </c>
      <c r="B683" s="7">
        <v>1.0240952752038748</v>
      </c>
      <c r="C683" s="28">
        <v>6470.6791998317103</v>
      </c>
      <c r="D683" s="28">
        <v>6318.4347750686975</v>
      </c>
    </row>
    <row r="684" spans="1:4" x14ac:dyDescent="0.2">
      <c r="A684">
        <v>647</v>
      </c>
      <c r="B684" s="7">
        <v>0.83696520218550141</v>
      </c>
      <c r="C684" s="28">
        <v>7395.1906950056291</v>
      </c>
      <c r="D684" s="28">
        <v>8835.7206198001404</v>
      </c>
    </row>
    <row r="685" spans="1:4" x14ac:dyDescent="0.2">
      <c r="A685">
        <v>648</v>
      </c>
      <c r="B685" s="7">
        <v>0.814528032572019</v>
      </c>
      <c r="C685" s="28">
        <v>8108.7498802505943</v>
      </c>
      <c r="D685" s="28">
        <v>9955.1513956441195</v>
      </c>
    </row>
    <row r="686" spans="1:4" x14ac:dyDescent="0.2">
      <c r="A686">
        <v>649</v>
      </c>
      <c r="B686" s="7">
        <v>0.72613605440083973</v>
      </c>
      <c r="C686" s="28">
        <v>7541.0365183859949</v>
      </c>
      <c r="D686" s="28">
        <v>10385.156435467687</v>
      </c>
    </row>
    <row r="687" spans="1:4" x14ac:dyDescent="0.2">
      <c r="A687">
        <v>650</v>
      </c>
      <c r="B687" s="7">
        <v>0.90821050982423124</v>
      </c>
      <c r="C687" s="28">
        <v>6330.1663489635139</v>
      </c>
      <c r="D687" s="28">
        <v>6969.9329400940433</v>
      </c>
    </row>
    <row r="688" spans="1:4" x14ac:dyDescent="0.2">
      <c r="A688">
        <v>651</v>
      </c>
      <c r="B688" s="7">
        <v>0.88121819572052207</v>
      </c>
      <c r="C688" s="28">
        <v>6398.7186065770329</v>
      </c>
      <c r="D688" s="28">
        <v>7261.2193411929766</v>
      </c>
    </row>
    <row r="689" spans="1:4" x14ac:dyDescent="0.2">
      <c r="A689">
        <v>652</v>
      </c>
      <c r="B689" s="7">
        <v>0.95527231913574973</v>
      </c>
      <c r="C689" s="28">
        <v>5662.5432695193304</v>
      </c>
      <c r="D689" s="28">
        <v>5927.6743982724474</v>
      </c>
    </row>
    <row r="690" spans="1:4" x14ac:dyDescent="0.2">
      <c r="A690">
        <v>653</v>
      </c>
      <c r="B690" s="7">
        <v>0.81051850824813165</v>
      </c>
      <c r="C690" s="28">
        <v>8517.1241677278049</v>
      </c>
      <c r="D690" s="28">
        <v>10508.241429473166</v>
      </c>
    </row>
    <row r="691" spans="1:4" x14ac:dyDescent="0.2">
      <c r="A691">
        <v>654</v>
      </c>
      <c r="B691" s="7">
        <v>0.76140252878176806</v>
      </c>
      <c r="C691" s="28">
        <v>7628.2707186479429</v>
      </c>
      <c r="D691" s="28">
        <v>10018.709460885368</v>
      </c>
    </row>
    <row r="692" spans="1:4" x14ac:dyDescent="0.2">
      <c r="A692">
        <v>655</v>
      </c>
      <c r="B692" s="7">
        <v>0.96309487496801793</v>
      </c>
      <c r="C692" s="29">
        <v>7243.4356592833574</v>
      </c>
      <c r="D692" s="28">
        <v>7520.9990703396634</v>
      </c>
    </row>
    <row r="693" spans="1:4" x14ac:dyDescent="0.2">
      <c r="A693">
        <v>656</v>
      </c>
      <c r="B693" s="7">
        <v>0.93370639360711838</v>
      </c>
      <c r="C693" s="28">
        <v>5669.9720556196971</v>
      </c>
      <c r="D693" s="28">
        <v>6072.5428190711173</v>
      </c>
    </row>
    <row r="694" spans="1:4" x14ac:dyDescent="0.2">
      <c r="A694">
        <v>657</v>
      </c>
      <c r="B694" s="7">
        <v>0.64221502673089947</v>
      </c>
      <c r="C694" s="29">
        <v>5393.5043605228366</v>
      </c>
      <c r="D694" s="28">
        <v>8398.2842755605889</v>
      </c>
    </row>
    <row r="695" spans="1:4" x14ac:dyDescent="0.2">
      <c r="A695">
        <v>658</v>
      </c>
      <c r="B695" s="7">
        <v>0.83590290366076481</v>
      </c>
      <c r="C695" s="28">
        <v>5393.8756040125118</v>
      </c>
      <c r="D695" s="28">
        <v>6452.75375930685</v>
      </c>
    </row>
    <row r="696" spans="1:4" x14ac:dyDescent="0.2">
      <c r="A696">
        <v>659</v>
      </c>
      <c r="B696" s="7">
        <v>0.76079244854752925</v>
      </c>
      <c r="C696" s="28">
        <v>7165.9099466288189</v>
      </c>
      <c r="D696" s="28">
        <v>9419.0077205808921</v>
      </c>
    </row>
    <row r="697" spans="1:4" x14ac:dyDescent="0.2">
      <c r="A697">
        <v>660</v>
      </c>
      <c r="B697" s="7">
        <v>1.0605958629032068</v>
      </c>
      <c r="C697" s="28">
        <v>8254.1480134314152</v>
      </c>
      <c r="D697" s="28">
        <v>7782.5572417726025</v>
      </c>
    </row>
    <row r="698" spans="1:4" x14ac:dyDescent="0.2">
      <c r="A698">
        <v>661</v>
      </c>
      <c r="B698" s="7">
        <v>0.9313629883654162</v>
      </c>
      <c r="C698" s="28">
        <v>6091.3277565697426</v>
      </c>
      <c r="D698" s="28">
        <v>6540.2295696335277</v>
      </c>
    </row>
    <row r="699" spans="1:4" x14ac:dyDescent="0.2">
      <c r="A699">
        <v>662</v>
      </c>
      <c r="B699" s="7">
        <v>0.81498605018574555</v>
      </c>
      <c r="C699" s="28">
        <v>9017.8814739999943</v>
      </c>
      <c r="D699" s="28">
        <v>11065.074637712763</v>
      </c>
    </row>
    <row r="700" spans="1:4" x14ac:dyDescent="0.2">
      <c r="A700">
        <v>663</v>
      </c>
      <c r="B700" s="7">
        <v>0.89632265305565006</v>
      </c>
      <c r="C700" s="28">
        <v>6423.2152882042883</v>
      </c>
      <c r="D700" s="28">
        <v>7166.1864913342642</v>
      </c>
    </row>
    <row r="701" spans="1:4" x14ac:dyDescent="0.2">
      <c r="A701">
        <v>664</v>
      </c>
      <c r="B701" s="7">
        <v>0.809455282794044</v>
      </c>
      <c r="C701" s="28">
        <v>6086.994958848687</v>
      </c>
      <c r="D701" s="28">
        <v>7519.8656284481231</v>
      </c>
    </row>
    <row r="702" spans="1:4" x14ac:dyDescent="0.2">
      <c r="A702">
        <v>665</v>
      </c>
      <c r="B702" s="7">
        <v>0.91111369051283475</v>
      </c>
      <c r="C702" s="28">
        <v>6975.3559856391821</v>
      </c>
      <c r="D702" s="28">
        <v>7655.8568467048199</v>
      </c>
    </row>
    <row r="703" spans="1:4" x14ac:dyDescent="0.2">
      <c r="A703">
        <v>666</v>
      </c>
      <c r="B703" s="7">
        <v>0.92755755821817765</v>
      </c>
      <c r="C703" s="28">
        <v>8731.2310432354316</v>
      </c>
      <c r="D703" s="28">
        <v>9413.1420372531684</v>
      </c>
    </row>
    <row r="704" spans="1:4" x14ac:dyDescent="0.2">
      <c r="A704">
        <v>667</v>
      </c>
      <c r="B704" s="7">
        <v>0.91302282877698282</v>
      </c>
      <c r="C704" s="28">
        <v>4890.022122671493</v>
      </c>
      <c r="D704" s="28">
        <v>5355.8596439716639</v>
      </c>
    </row>
    <row r="705" spans="1:4" x14ac:dyDescent="0.2">
      <c r="A705">
        <v>668</v>
      </c>
      <c r="B705" s="7">
        <v>0.83244739987898786</v>
      </c>
      <c r="C705" s="28">
        <v>7013.8608244742336</v>
      </c>
      <c r="D705" s="28">
        <v>8425.5904042631792</v>
      </c>
    </row>
    <row r="706" spans="1:4" x14ac:dyDescent="0.2">
      <c r="A706">
        <v>669</v>
      </c>
      <c r="B706" s="7">
        <v>0.99622026512619932</v>
      </c>
      <c r="C706" s="28">
        <v>4927.1466128850152</v>
      </c>
      <c r="D706" s="28">
        <v>4945.8405790017268</v>
      </c>
    </row>
    <row r="707" spans="1:4" x14ac:dyDescent="0.2">
      <c r="A707">
        <v>670</v>
      </c>
      <c r="B707" s="7">
        <v>0.74616741297992295</v>
      </c>
      <c r="C707" s="28">
        <v>8412.2244131973348</v>
      </c>
      <c r="D707" s="28">
        <v>11273.910206828721</v>
      </c>
    </row>
    <row r="708" spans="1:4" x14ac:dyDescent="0.2">
      <c r="A708">
        <v>671</v>
      </c>
      <c r="B708" s="7">
        <v>0.90779117677051513</v>
      </c>
      <c r="C708" s="28">
        <v>8618.0792904043992</v>
      </c>
      <c r="D708" s="28">
        <v>9493.4600720216131</v>
      </c>
    </row>
    <row r="709" spans="1:4" x14ac:dyDescent="0.2">
      <c r="A709">
        <v>672</v>
      </c>
      <c r="B709" s="7">
        <v>1.1047928250052781</v>
      </c>
      <c r="C709" s="28">
        <v>6414.6990813321563</v>
      </c>
      <c r="D709" s="28">
        <v>5806.2461451100662</v>
      </c>
    </row>
    <row r="710" spans="1:4" x14ac:dyDescent="0.2">
      <c r="A710">
        <v>673</v>
      </c>
      <c r="B710" s="7">
        <v>0.59677180740290048</v>
      </c>
      <c r="C710" s="28">
        <v>6645.7473284772022</v>
      </c>
      <c r="D710" s="28">
        <v>11136.161671910948</v>
      </c>
    </row>
    <row r="711" spans="1:4" x14ac:dyDescent="0.2">
      <c r="A711">
        <v>674</v>
      </c>
      <c r="B711" s="7">
        <v>0.97013341979355872</v>
      </c>
      <c r="C711" s="28">
        <v>6799.8425676033467</v>
      </c>
      <c r="D711" s="28">
        <v>7009.1828905866696</v>
      </c>
    </row>
    <row r="712" spans="1:4" x14ac:dyDescent="0.2">
      <c r="A712">
        <v>675</v>
      </c>
      <c r="B712" s="7">
        <v>0.87625894823101635</v>
      </c>
      <c r="C712" s="28">
        <v>7498.0163826295156</v>
      </c>
      <c r="D712" s="28">
        <v>8556.8500016649687</v>
      </c>
    </row>
    <row r="713" spans="1:4" x14ac:dyDescent="0.2">
      <c r="A713">
        <v>676</v>
      </c>
      <c r="B713" s="7">
        <v>0.73492961147238223</v>
      </c>
      <c r="C713" s="28">
        <v>6635.6488677239622</v>
      </c>
      <c r="D713" s="28">
        <v>9028.9583711695668</v>
      </c>
    </row>
    <row r="714" spans="1:4" x14ac:dyDescent="0.2">
      <c r="A714">
        <v>677</v>
      </c>
      <c r="B714" s="7">
        <v>0.91124703789962691</v>
      </c>
      <c r="C714" s="28">
        <v>7040.3874475239154</v>
      </c>
      <c r="D714" s="28">
        <v>7726.1018743628638</v>
      </c>
    </row>
    <row r="715" spans="1:4" x14ac:dyDescent="0.2">
      <c r="A715">
        <v>678</v>
      </c>
      <c r="B715" s="7">
        <v>0.92727187857744742</v>
      </c>
      <c r="C715" s="28">
        <v>6040.4245626058946</v>
      </c>
      <c r="D715" s="28">
        <v>6514.189314004293</v>
      </c>
    </row>
    <row r="716" spans="1:4" x14ac:dyDescent="0.2">
      <c r="A716">
        <v>679</v>
      </c>
      <c r="B716" s="7">
        <v>0.64942036019447258</v>
      </c>
      <c r="C716" s="28">
        <v>7244.2091663517931</v>
      </c>
      <c r="D716" s="28">
        <v>11154.884586899114</v>
      </c>
    </row>
    <row r="717" spans="1:4" x14ac:dyDescent="0.2">
      <c r="A717">
        <v>680</v>
      </c>
      <c r="B717" s="7">
        <v>0.77685692863780353</v>
      </c>
      <c r="C717" s="28">
        <v>6621.2991437215569</v>
      </c>
      <c r="D717" s="28">
        <v>8523.1899203522789</v>
      </c>
    </row>
    <row r="718" spans="1:4" x14ac:dyDescent="0.2">
      <c r="A718">
        <v>681</v>
      </c>
      <c r="B718" s="7">
        <v>0.69195243267925566</v>
      </c>
      <c r="C718" s="28">
        <v>7749.9047786841575</v>
      </c>
      <c r="D718" s="28">
        <v>11200.054241700327</v>
      </c>
    </row>
    <row r="719" spans="1:4" x14ac:dyDescent="0.2">
      <c r="A719">
        <v>682</v>
      </c>
      <c r="B719" s="7">
        <v>0.64982960533667544</v>
      </c>
      <c r="C719" s="28">
        <v>6018.6875200957838</v>
      </c>
      <c r="D719" s="28">
        <v>9261.9472407347675</v>
      </c>
    </row>
    <row r="720" spans="1:4" x14ac:dyDescent="0.2">
      <c r="A720">
        <v>683</v>
      </c>
      <c r="B720" s="7">
        <v>0.83814355990839218</v>
      </c>
      <c r="C720" s="28">
        <v>7707.5322736460166</v>
      </c>
      <c r="D720" s="28">
        <v>9195.9571633389842</v>
      </c>
    </row>
    <row r="721" spans="1:4" x14ac:dyDescent="0.2">
      <c r="A721">
        <v>684</v>
      </c>
      <c r="B721" s="7">
        <v>0.92832580494573058</v>
      </c>
      <c r="C721" s="28">
        <v>5303.6980070298177</v>
      </c>
      <c r="D721" s="28">
        <v>5713.1860159158978</v>
      </c>
    </row>
    <row r="722" spans="1:4" x14ac:dyDescent="0.2">
      <c r="A722">
        <v>685</v>
      </c>
      <c r="B722" s="7">
        <v>0.86101517527061322</v>
      </c>
      <c r="C722" s="28">
        <v>6477.2148311373585</v>
      </c>
      <c r="D722" s="28">
        <v>7522.7650071342805</v>
      </c>
    </row>
    <row r="723" spans="1:4" x14ac:dyDescent="0.2">
      <c r="A723">
        <v>686</v>
      </c>
      <c r="B723" s="7">
        <v>0.92287725863250536</v>
      </c>
      <c r="C723" s="28">
        <v>6787.3598999813166</v>
      </c>
      <c r="D723" s="28">
        <v>7354.5640403347279</v>
      </c>
    </row>
    <row r="724" spans="1:4" x14ac:dyDescent="0.2">
      <c r="A724">
        <v>687</v>
      </c>
      <c r="B724" s="7">
        <v>1.0677997700886204</v>
      </c>
      <c r="C724" s="28">
        <v>8016.8477012534659</v>
      </c>
      <c r="D724" s="28">
        <v>7507.819280189693</v>
      </c>
    </row>
    <row r="725" spans="1:4" x14ac:dyDescent="0.2">
      <c r="A725">
        <v>688</v>
      </c>
      <c r="B725" s="7">
        <v>0.70599167910201288</v>
      </c>
      <c r="C725" s="28">
        <v>9804.6263546324972</v>
      </c>
      <c r="D725" s="28">
        <v>13887.736420779782</v>
      </c>
    </row>
    <row r="726" spans="1:4" x14ac:dyDescent="0.2">
      <c r="A726">
        <v>689</v>
      </c>
      <c r="B726" s="7">
        <v>0.67653211833326132</v>
      </c>
      <c r="C726" s="28">
        <v>6942.1862853276034</v>
      </c>
      <c r="D726" s="28">
        <v>10261.428980534914</v>
      </c>
    </row>
    <row r="727" spans="1:4" x14ac:dyDescent="0.2">
      <c r="A727">
        <v>690</v>
      </c>
      <c r="B727" s="7">
        <v>0.76548476648527597</v>
      </c>
      <c r="C727" s="28">
        <v>7043.677862059405</v>
      </c>
      <c r="D727" s="28">
        <v>9201.5911621604937</v>
      </c>
    </row>
    <row r="728" spans="1:4" x14ac:dyDescent="0.2">
      <c r="A728">
        <v>691</v>
      </c>
      <c r="B728" s="7">
        <v>0.71441170883517557</v>
      </c>
      <c r="C728" s="28">
        <v>6752.594763122007</v>
      </c>
      <c r="D728" s="28">
        <v>9451.9654137974412</v>
      </c>
    </row>
    <row r="729" spans="1:4" x14ac:dyDescent="0.2">
      <c r="A729">
        <v>692</v>
      </c>
      <c r="B729" s="7">
        <v>0.93366694496165437</v>
      </c>
      <c r="C729" s="28">
        <v>8329.6859716744239</v>
      </c>
      <c r="D729" s="28">
        <v>8921.4746399922333</v>
      </c>
    </row>
    <row r="730" spans="1:4" x14ac:dyDescent="0.2">
      <c r="A730">
        <v>693</v>
      </c>
      <c r="B730" s="7">
        <v>0.67833018508448184</v>
      </c>
      <c r="C730" s="28">
        <v>8258.7388539889907</v>
      </c>
      <c r="D730" s="28">
        <v>12175.101500105609</v>
      </c>
    </row>
    <row r="731" spans="1:4" x14ac:dyDescent="0.2">
      <c r="A731">
        <v>694</v>
      </c>
      <c r="B731" s="7">
        <v>0.91058367661524819</v>
      </c>
      <c r="C731" s="28">
        <v>7276.0145233636977</v>
      </c>
      <c r="D731" s="28">
        <v>7990.4952287411306</v>
      </c>
    </row>
    <row r="732" spans="1:4" x14ac:dyDescent="0.2">
      <c r="A732">
        <v>695</v>
      </c>
      <c r="B732" s="7">
        <v>0.70034570039965249</v>
      </c>
      <c r="C732" s="28">
        <v>7398.4602076460815</v>
      </c>
      <c r="D732" s="28">
        <v>10564.011749374842</v>
      </c>
    </row>
    <row r="733" spans="1:4" x14ac:dyDescent="0.2">
      <c r="A733">
        <v>696</v>
      </c>
      <c r="B733" s="7">
        <v>0.58895421122016156</v>
      </c>
      <c r="C733" s="28">
        <v>7016.1481253228349</v>
      </c>
      <c r="D733" s="28">
        <v>11912.892363545854</v>
      </c>
    </row>
    <row r="734" spans="1:4" x14ac:dyDescent="0.2">
      <c r="A734">
        <v>697</v>
      </c>
      <c r="B734" s="7">
        <v>0.9863212465649509</v>
      </c>
      <c r="C734" s="28">
        <v>5964.6500895931313</v>
      </c>
      <c r="D734" s="28">
        <v>6047.3705806968528</v>
      </c>
    </row>
    <row r="735" spans="1:4" x14ac:dyDescent="0.2">
      <c r="A735">
        <v>698</v>
      </c>
      <c r="B735" s="7">
        <v>0.8169472419983288</v>
      </c>
      <c r="C735" s="28">
        <v>6920.1957961854241</v>
      </c>
      <c r="D735" s="28">
        <v>8470.7988967047404</v>
      </c>
    </row>
    <row r="736" spans="1:4" x14ac:dyDescent="0.2">
      <c r="A736">
        <v>699</v>
      </c>
      <c r="B736" s="7">
        <v>1.0315423354430804</v>
      </c>
      <c r="C736" s="28">
        <v>6247.3042200496975</v>
      </c>
      <c r="D736" s="28">
        <v>6056.2751574963531</v>
      </c>
    </row>
    <row r="737" spans="1:4" x14ac:dyDescent="0.2">
      <c r="A737">
        <v>700</v>
      </c>
      <c r="B737" s="7">
        <v>0.66226179584146294</v>
      </c>
      <c r="C737" s="28">
        <v>6706.4660979025966</v>
      </c>
      <c r="D737" s="28">
        <v>10126.608752028993</v>
      </c>
    </row>
    <row r="738" spans="1:4" x14ac:dyDescent="0.2">
      <c r="A738">
        <v>701</v>
      </c>
      <c r="B738" s="7">
        <v>0.81145207710953482</v>
      </c>
      <c r="C738" s="28">
        <v>7318.5784767810492</v>
      </c>
      <c r="D738" s="28">
        <v>9019.1136152494473</v>
      </c>
    </row>
    <row r="739" spans="1:4" x14ac:dyDescent="0.2">
      <c r="A739">
        <v>702</v>
      </c>
      <c r="B739" s="35">
        <v>0.96552932077480769</v>
      </c>
      <c r="C739" s="36">
        <v>6259.0159649007383</v>
      </c>
      <c r="D739" s="36">
        <v>6482.4711484453628</v>
      </c>
    </row>
    <row r="740" spans="1:4" x14ac:dyDescent="0.2">
      <c r="A740">
        <v>703</v>
      </c>
      <c r="B740" s="7">
        <v>0.70537030239280973</v>
      </c>
      <c r="C740" s="28">
        <v>6178.0504187840615</v>
      </c>
      <c r="D740" s="28">
        <v>8758.5916189360651</v>
      </c>
    </row>
    <row r="741" spans="1:4" x14ac:dyDescent="0.2">
      <c r="A741">
        <v>704</v>
      </c>
      <c r="B741" s="7">
        <v>0.75231877289708926</v>
      </c>
      <c r="C741" s="28">
        <v>7013.845143966515</v>
      </c>
      <c r="D741" s="28">
        <v>9322.9697259275345</v>
      </c>
    </row>
    <row r="742" spans="1:4" x14ac:dyDescent="0.2">
      <c r="A742">
        <v>705</v>
      </c>
      <c r="B742" s="7">
        <v>1.1051886001443965</v>
      </c>
      <c r="C742" s="28">
        <v>6783.1211259353786</v>
      </c>
      <c r="D742" s="28">
        <v>6137.5236091370671</v>
      </c>
    </row>
    <row r="743" spans="1:4" x14ac:dyDescent="0.2">
      <c r="A743">
        <v>706</v>
      </c>
      <c r="B743" s="7">
        <v>0.94489395416848865</v>
      </c>
      <c r="C743" s="28">
        <v>5846.926460820423</v>
      </c>
      <c r="D743" s="28">
        <v>6187.918162695566</v>
      </c>
    </row>
    <row r="744" spans="1:4" x14ac:dyDescent="0.2">
      <c r="A744">
        <v>707</v>
      </c>
      <c r="B744" s="7">
        <v>0.70299383541670579</v>
      </c>
      <c r="C744" s="28">
        <v>5312.1234990306966</v>
      </c>
      <c r="D744" s="28">
        <v>7556.4297030882053</v>
      </c>
    </row>
    <row r="745" spans="1:4" x14ac:dyDescent="0.2">
      <c r="A745">
        <v>708</v>
      </c>
      <c r="B745" s="7">
        <v>0.65818202175336715</v>
      </c>
      <c r="C745" s="28">
        <v>6720.6009582951792</v>
      </c>
      <c r="D745" s="28">
        <v>10210.854651410566</v>
      </c>
    </row>
    <row r="746" spans="1:4" x14ac:dyDescent="0.2">
      <c r="A746">
        <v>709</v>
      </c>
      <c r="B746" s="7">
        <v>0.85949877885658221</v>
      </c>
      <c r="C746" s="28">
        <v>6164.8148203785368</v>
      </c>
      <c r="D746" s="28">
        <v>7172.5696092084972</v>
      </c>
    </row>
    <row r="747" spans="1:4" x14ac:dyDescent="0.2">
      <c r="A747">
        <v>710</v>
      </c>
      <c r="B747" s="7">
        <v>0.84003792686349765</v>
      </c>
      <c r="C747" s="28">
        <v>5939.3961477083885</v>
      </c>
      <c r="D747" s="28">
        <v>7070.3904642552088</v>
      </c>
    </row>
    <row r="748" spans="1:4" x14ac:dyDescent="0.2">
      <c r="A748">
        <v>711</v>
      </c>
      <c r="B748" s="7">
        <v>0.94451379996237339</v>
      </c>
      <c r="C748" s="28">
        <v>6865.0023292966653</v>
      </c>
      <c r="D748" s="28">
        <v>7268.2922468365696</v>
      </c>
    </row>
    <row r="749" spans="1:4" x14ac:dyDescent="0.2">
      <c r="A749">
        <v>712</v>
      </c>
      <c r="B749" s="7">
        <v>0.54833758498293861</v>
      </c>
      <c r="C749" s="28">
        <v>6817.7811451527105</v>
      </c>
      <c r="D749" s="28">
        <v>12433.547018967967</v>
      </c>
    </row>
    <row r="750" spans="1:4" x14ac:dyDescent="0.2">
      <c r="A750">
        <v>713</v>
      </c>
      <c r="B750" s="7">
        <v>0.76237448048280498</v>
      </c>
      <c r="C750" s="28">
        <v>5610.8073590418371</v>
      </c>
      <c r="D750" s="28">
        <v>7359.6473946616925</v>
      </c>
    </row>
    <row r="751" spans="1:4" x14ac:dyDescent="0.2">
      <c r="A751">
        <v>714</v>
      </c>
      <c r="B751" s="7">
        <v>0.91110329187936223</v>
      </c>
      <c r="C751" s="28">
        <v>7530.0162230159858</v>
      </c>
      <c r="D751" s="28">
        <v>8264.7228806336298</v>
      </c>
    </row>
    <row r="752" spans="1:4" x14ac:dyDescent="0.2">
      <c r="A752">
        <v>715</v>
      </c>
      <c r="B752" s="7">
        <v>0.8299526084701645</v>
      </c>
      <c r="C752" s="28">
        <v>6292.0674394642356</v>
      </c>
      <c r="D752" s="28">
        <v>7581.2370191380942</v>
      </c>
    </row>
    <row r="753" spans="1:4" x14ac:dyDescent="0.2">
      <c r="A753">
        <v>716</v>
      </c>
      <c r="B753" s="7">
        <v>0.63316900877902427</v>
      </c>
      <c r="C753" s="28">
        <v>8930.9152067569521</v>
      </c>
      <c r="D753" s="28">
        <v>14105.104771282067</v>
      </c>
    </row>
    <row r="754" spans="1:4" x14ac:dyDescent="0.2">
      <c r="A754">
        <v>717</v>
      </c>
      <c r="B754" s="7">
        <v>0.94659397406039147</v>
      </c>
      <c r="C754" s="28">
        <v>6657.6629047853394</v>
      </c>
      <c r="D754" s="28">
        <v>7033.2825765068619</v>
      </c>
    </row>
    <row r="755" spans="1:4" x14ac:dyDescent="0.2">
      <c r="A755">
        <v>718</v>
      </c>
      <c r="B755" s="7">
        <v>0.86401100104547623</v>
      </c>
      <c r="C755" s="28">
        <v>5379.134023660421</v>
      </c>
      <c r="D755" s="28">
        <v>6225.7702936091391</v>
      </c>
    </row>
    <row r="756" spans="1:4" x14ac:dyDescent="0.2">
      <c r="A756">
        <v>719</v>
      </c>
      <c r="B756" s="7">
        <v>0.74515424953828635</v>
      </c>
      <c r="C756" s="28">
        <v>6457.3643526498581</v>
      </c>
      <c r="D756" s="28">
        <v>8665.8089337220863</v>
      </c>
    </row>
    <row r="757" spans="1:4" x14ac:dyDescent="0.2">
      <c r="A757">
        <v>720</v>
      </c>
      <c r="B757" s="7">
        <v>0.81163042003743957</v>
      </c>
      <c r="C757" s="28">
        <v>6831.5594310281831</v>
      </c>
      <c r="D757" s="28">
        <v>8417.0815464420994</v>
      </c>
    </row>
    <row r="758" spans="1:4" x14ac:dyDescent="0.2">
      <c r="A758">
        <v>721</v>
      </c>
      <c r="B758" s="7">
        <v>0.66343874138124459</v>
      </c>
      <c r="C758" s="28">
        <v>5992.2553349621921</v>
      </c>
      <c r="D758" s="28">
        <v>9032.1154934163642</v>
      </c>
    </row>
    <row r="759" spans="1:4" x14ac:dyDescent="0.2">
      <c r="A759">
        <v>722</v>
      </c>
      <c r="B759" s="7">
        <v>0.86215174457427679</v>
      </c>
      <c r="C759" s="28">
        <v>7859.9381188552252</v>
      </c>
      <c r="D759" s="28">
        <v>9116.6528030821246</v>
      </c>
    </row>
    <row r="760" spans="1:4" x14ac:dyDescent="0.2">
      <c r="A760">
        <v>723</v>
      </c>
      <c r="B760" s="7">
        <v>0.73861261411916779</v>
      </c>
      <c r="C760" s="28">
        <v>6420.1725868069734</v>
      </c>
      <c r="D760" s="28">
        <v>8692.20544583218</v>
      </c>
    </row>
    <row r="761" spans="1:4" x14ac:dyDescent="0.2">
      <c r="A761">
        <v>724</v>
      </c>
      <c r="B761" s="7">
        <v>1.0125436260960932</v>
      </c>
      <c r="C761" s="28">
        <v>7794.3607258032498</v>
      </c>
      <c r="D761" s="28">
        <v>7697.8023710985699</v>
      </c>
    </row>
    <row r="762" spans="1:4" x14ac:dyDescent="0.2">
      <c r="A762">
        <v>725</v>
      </c>
      <c r="B762" s="7">
        <v>0.72671818465485138</v>
      </c>
      <c r="C762" s="28">
        <v>9221.0251852579659</v>
      </c>
      <c r="D762" s="28">
        <v>12688.584626016223</v>
      </c>
    </row>
    <row r="763" spans="1:4" x14ac:dyDescent="0.2">
      <c r="A763">
        <v>726</v>
      </c>
      <c r="B763" s="7">
        <v>0.89487532433920691</v>
      </c>
      <c r="C763" s="28">
        <v>4713.0607062159452</v>
      </c>
      <c r="D763" s="28">
        <v>5266.7232831524989</v>
      </c>
    </row>
    <row r="764" spans="1:4" x14ac:dyDescent="0.2">
      <c r="A764">
        <v>727</v>
      </c>
      <c r="B764" s="7">
        <v>0.86586126201270908</v>
      </c>
      <c r="C764" s="28">
        <v>7758.125286483988</v>
      </c>
      <c r="D764" s="28">
        <v>8960.0096768968451</v>
      </c>
    </row>
    <row r="765" spans="1:4" x14ac:dyDescent="0.2">
      <c r="A765">
        <v>728</v>
      </c>
      <c r="B765" s="7">
        <v>0.7009055909536368</v>
      </c>
      <c r="C765" s="28">
        <v>7676.1644562410811</v>
      </c>
      <c r="D765" s="28">
        <v>10951.780889344969</v>
      </c>
    </row>
    <row r="766" spans="1:4" x14ac:dyDescent="0.2">
      <c r="A766">
        <v>729</v>
      </c>
      <c r="B766" s="7">
        <v>0.79365104943178721</v>
      </c>
      <c r="C766" s="28">
        <v>6677.6978212212216</v>
      </c>
      <c r="D766" s="28">
        <v>8413.89654307407</v>
      </c>
    </row>
    <row r="767" spans="1:4" x14ac:dyDescent="0.2">
      <c r="A767">
        <v>730</v>
      </c>
      <c r="B767" s="35">
        <v>0.79774993843757258</v>
      </c>
      <c r="C767" s="36">
        <v>6925.7129951267107</v>
      </c>
      <c r="D767" s="36">
        <v>8681.5587960946959</v>
      </c>
    </row>
    <row r="768" spans="1:4" x14ac:dyDescent="0.2">
      <c r="A768">
        <v>731</v>
      </c>
      <c r="B768" s="7">
        <v>0.97457699114615526</v>
      </c>
      <c r="C768" s="28">
        <v>7605.9596016755386</v>
      </c>
      <c r="D768" s="28">
        <v>7804.3701737002002</v>
      </c>
    </row>
    <row r="769" spans="1:4" x14ac:dyDescent="0.2">
      <c r="A769">
        <v>732</v>
      </c>
      <c r="B769" s="7">
        <v>0.77309570644500614</v>
      </c>
      <c r="C769" s="28">
        <v>7705.2791442701891</v>
      </c>
      <c r="D769" s="28">
        <v>9966.785586873908</v>
      </c>
    </row>
    <row r="770" spans="1:4" x14ac:dyDescent="0.2">
      <c r="A770">
        <v>733</v>
      </c>
      <c r="B770" s="7">
        <v>0.9053061557037605</v>
      </c>
      <c r="C770" s="28">
        <v>6839.1358164402554</v>
      </c>
      <c r="D770" s="28">
        <v>7554.5005116238235</v>
      </c>
    </row>
    <row r="771" spans="1:4" x14ac:dyDescent="0.2">
      <c r="A771">
        <v>734</v>
      </c>
      <c r="B771" s="7">
        <v>1.0526323266568047</v>
      </c>
      <c r="C771" s="28">
        <v>8210.3798383972353</v>
      </c>
      <c r="D771" s="28">
        <v>7799.8553060532304</v>
      </c>
    </row>
    <row r="772" spans="1:4" x14ac:dyDescent="0.2">
      <c r="A772">
        <v>735</v>
      </c>
      <c r="B772" s="7">
        <v>0.98188367447332947</v>
      </c>
      <c r="C772" s="28">
        <v>8069.7165090877916</v>
      </c>
      <c r="D772" s="28">
        <v>8218.6074775265915</v>
      </c>
    </row>
    <row r="773" spans="1:4" x14ac:dyDescent="0.2">
      <c r="A773">
        <v>736</v>
      </c>
      <c r="B773" s="7">
        <v>1.3352398216790275</v>
      </c>
      <c r="C773" s="28">
        <v>4598.910533352042</v>
      </c>
      <c r="D773" s="28">
        <v>3444.258071609217</v>
      </c>
    </row>
    <row r="774" spans="1:4" x14ac:dyDescent="0.2">
      <c r="A774">
        <v>737</v>
      </c>
      <c r="B774" s="7">
        <v>1.1503054570659632</v>
      </c>
      <c r="C774" s="28">
        <v>6901.2218849899455</v>
      </c>
      <c r="D774" s="28">
        <v>5999.4689606990196</v>
      </c>
    </row>
    <row r="775" spans="1:4" x14ac:dyDescent="0.2">
      <c r="A775">
        <v>738</v>
      </c>
      <c r="B775" s="7">
        <v>0.85300602591807539</v>
      </c>
      <c r="C775" s="28">
        <v>8107.8504313747744</v>
      </c>
      <c r="D775" s="28">
        <v>9505.0330068283365</v>
      </c>
    </row>
    <row r="776" spans="1:4" x14ac:dyDescent="0.2">
      <c r="A776">
        <v>739</v>
      </c>
      <c r="B776" s="7">
        <v>0.69217133353731697</v>
      </c>
      <c r="C776" s="28">
        <v>8208.4374138855892</v>
      </c>
      <c r="D776" s="28">
        <v>11858.967593957788</v>
      </c>
    </row>
    <row r="777" spans="1:4" x14ac:dyDescent="0.2">
      <c r="A777">
        <v>740</v>
      </c>
      <c r="B777" s="35">
        <v>0.71914878925879488</v>
      </c>
      <c r="C777" s="36">
        <v>6888.1857644460561</v>
      </c>
      <c r="D777" s="36">
        <v>9578.2484338818158</v>
      </c>
    </row>
    <row r="778" spans="1:4" x14ac:dyDescent="0.2">
      <c r="A778">
        <v>741</v>
      </c>
      <c r="B778" s="7">
        <v>0.88895927778424699</v>
      </c>
      <c r="C778" s="28">
        <v>6628.5520729493619</v>
      </c>
      <c r="D778" s="28">
        <v>7456.5306179954523</v>
      </c>
    </row>
    <row r="779" spans="1:4" x14ac:dyDescent="0.2">
      <c r="A779">
        <v>742</v>
      </c>
      <c r="B779" s="7">
        <v>0.80989826267159337</v>
      </c>
      <c r="C779" s="28">
        <v>7924.9033690237866</v>
      </c>
      <c r="D779" s="28">
        <v>9785.0603394086611</v>
      </c>
    </row>
    <row r="780" spans="1:4" x14ac:dyDescent="0.2">
      <c r="A780">
        <v>743</v>
      </c>
      <c r="B780" s="7">
        <v>0.9560227520942437</v>
      </c>
      <c r="C780" s="28">
        <v>5198.5363641186068</v>
      </c>
      <c r="D780" s="28">
        <v>5437.670131522289</v>
      </c>
    </row>
    <row r="781" spans="1:4" x14ac:dyDescent="0.2">
      <c r="A781">
        <v>744</v>
      </c>
      <c r="B781" s="7">
        <v>0.99551798327789953</v>
      </c>
      <c r="C781" s="28">
        <v>6646.9257603379483</v>
      </c>
      <c r="D781" s="28">
        <v>6676.8515205038284</v>
      </c>
    </row>
    <row r="782" spans="1:4" x14ac:dyDescent="0.2">
      <c r="A782">
        <v>745</v>
      </c>
      <c r="B782" s="7">
        <v>0.97413876047190051</v>
      </c>
      <c r="C782" s="28">
        <v>3919.9949287068303</v>
      </c>
      <c r="D782" s="28">
        <v>4024.0621642114652</v>
      </c>
    </row>
    <row r="783" spans="1:4" x14ac:dyDescent="0.2">
      <c r="A783">
        <v>746</v>
      </c>
      <c r="B783" s="7">
        <v>1.0383934876640399</v>
      </c>
      <c r="C783" s="28">
        <v>8128.1550367004265</v>
      </c>
      <c r="D783" s="28">
        <v>7827.6252049552495</v>
      </c>
    </row>
    <row r="784" spans="1:4" x14ac:dyDescent="0.2">
      <c r="A784">
        <v>747</v>
      </c>
      <c r="B784" s="7">
        <v>1.1932873002380182</v>
      </c>
      <c r="C784" s="28">
        <v>7614.9132338169056</v>
      </c>
      <c r="D784" s="28">
        <v>6381.4583732668589</v>
      </c>
    </row>
    <row r="785" spans="1:4" x14ac:dyDescent="0.2">
      <c r="A785">
        <v>748</v>
      </c>
      <c r="B785" s="7">
        <v>1.0139418190031133</v>
      </c>
      <c r="C785" s="28">
        <v>5347.1305732465153</v>
      </c>
      <c r="D785" s="28">
        <v>5273.6069003482899</v>
      </c>
    </row>
    <row r="786" spans="1:4" x14ac:dyDescent="0.2">
      <c r="A786">
        <v>749</v>
      </c>
      <c r="B786" s="7">
        <v>0.91633685371995366</v>
      </c>
      <c r="C786" s="28">
        <v>7243.8025788304913</v>
      </c>
      <c r="D786" s="28">
        <v>7905.1743356426286</v>
      </c>
    </row>
    <row r="787" spans="1:4" x14ac:dyDescent="0.2">
      <c r="A787">
        <v>750</v>
      </c>
      <c r="B787" s="7">
        <v>0.75170054013868892</v>
      </c>
      <c r="C787" s="28">
        <v>5655.9734833541406</v>
      </c>
      <c r="D787" s="28">
        <v>7524.2376203569211</v>
      </c>
    </row>
    <row r="788" spans="1:4" x14ac:dyDescent="0.2">
      <c r="A788">
        <v>751</v>
      </c>
      <c r="B788" s="7">
        <v>0.82175589435398155</v>
      </c>
      <c r="C788" s="28">
        <v>7816.8463696891758</v>
      </c>
      <c r="D788" s="28">
        <v>9512.37030777168</v>
      </c>
    </row>
    <row r="789" spans="1:4" x14ac:dyDescent="0.2">
      <c r="A789">
        <v>752</v>
      </c>
      <c r="B789" s="7">
        <v>0.99428008562416892</v>
      </c>
      <c r="C789" s="28">
        <v>7260.5227097212874</v>
      </c>
      <c r="D789" s="28">
        <v>7302.2911900759073</v>
      </c>
    </row>
    <row r="790" spans="1:4" x14ac:dyDescent="0.2">
      <c r="A790">
        <v>753</v>
      </c>
      <c r="B790" s="7">
        <v>0.86378163318852152</v>
      </c>
      <c r="C790" s="28">
        <v>8656.1646360580889</v>
      </c>
      <c r="D790" s="28">
        <v>10021.241831810134</v>
      </c>
    </row>
    <row r="791" spans="1:4" x14ac:dyDescent="0.2">
      <c r="A791">
        <v>754</v>
      </c>
      <c r="B791" s="7">
        <v>0.69402533789856413</v>
      </c>
      <c r="C791" s="28">
        <v>7770.8612294314635</v>
      </c>
      <c r="D791" s="28">
        <v>11196.79758805466</v>
      </c>
    </row>
    <row r="792" spans="1:4" x14ac:dyDescent="0.2">
      <c r="A792">
        <v>755</v>
      </c>
      <c r="B792" s="7">
        <v>0.74495334800931357</v>
      </c>
      <c r="C792" s="28">
        <v>6663.9520566010942</v>
      </c>
      <c r="D792" s="28">
        <v>8945.4622553327736</v>
      </c>
    </row>
    <row r="793" spans="1:4" x14ac:dyDescent="0.2">
      <c r="A793">
        <v>756</v>
      </c>
      <c r="B793" s="7">
        <v>0.87673263753622876</v>
      </c>
      <c r="C793" s="28">
        <v>7939.1154259120467</v>
      </c>
      <c r="D793" s="28">
        <v>9055.343768451854</v>
      </c>
    </row>
    <row r="794" spans="1:4" x14ac:dyDescent="0.2">
      <c r="A794">
        <v>757</v>
      </c>
      <c r="B794" s="7">
        <v>1.008153551492069</v>
      </c>
      <c r="C794" s="28">
        <v>6716.586102200994</v>
      </c>
      <c r="D794" s="28">
        <v>6662.2649816195508</v>
      </c>
    </row>
    <row r="795" spans="1:4" x14ac:dyDescent="0.2">
      <c r="A795">
        <v>758</v>
      </c>
      <c r="B795" s="7">
        <v>0.86056271366145776</v>
      </c>
      <c r="C795" s="28">
        <v>6124.3527732602997</v>
      </c>
      <c r="D795" s="28">
        <v>7116.68385817329</v>
      </c>
    </row>
    <row r="796" spans="1:4" x14ac:dyDescent="0.2">
      <c r="A796">
        <v>759</v>
      </c>
      <c r="B796" s="7">
        <v>0.65812948894096657</v>
      </c>
      <c r="C796" s="28">
        <v>8125.0210768072375</v>
      </c>
      <c r="D796" s="28">
        <v>12345.626830795363</v>
      </c>
    </row>
    <row r="797" spans="1:4" x14ac:dyDescent="0.2">
      <c r="A797">
        <v>760</v>
      </c>
      <c r="B797" s="7">
        <v>0.9548033733870902</v>
      </c>
      <c r="C797" s="28">
        <v>6791.8170886705029</v>
      </c>
      <c r="D797" s="28">
        <v>7113.3149274253856</v>
      </c>
    </row>
    <row r="798" spans="1:4" x14ac:dyDescent="0.2">
      <c r="A798">
        <v>761</v>
      </c>
      <c r="B798" s="7">
        <v>0.91935474238399451</v>
      </c>
      <c r="C798" s="28">
        <v>6976.3187402973326</v>
      </c>
      <c r="D798" s="28">
        <v>7588.2773195980053</v>
      </c>
    </row>
    <row r="799" spans="1:4" x14ac:dyDescent="0.2">
      <c r="A799">
        <v>762</v>
      </c>
      <c r="B799" s="7">
        <v>0.78263323246332828</v>
      </c>
      <c r="C799" s="29">
        <v>5934.585089715034</v>
      </c>
      <c r="D799" s="28">
        <v>7582.8432061797348</v>
      </c>
    </row>
    <row r="800" spans="1:4" x14ac:dyDescent="0.2">
      <c r="A800">
        <v>763</v>
      </c>
      <c r="B800" s="7">
        <v>0.77476132794059094</v>
      </c>
      <c r="C800" s="28">
        <v>8115.2935402836993</v>
      </c>
      <c r="D800" s="28">
        <v>10474.57229422528</v>
      </c>
    </row>
    <row r="801" spans="1:4" x14ac:dyDescent="0.2">
      <c r="A801">
        <v>764</v>
      </c>
      <c r="B801" s="7">
        <v>1.0194026096841302</v>
      </c>
      <c r="C801" s="28">
        <v>6972.0816146193574</v>
      </c>
      <c r="D801" s="28">
        <v>6839.379797918813</v>
      </c>
    </row>
    <row r="802" spans="1:4" x14ac:dyDescent="0.2">
      <c r="A802">
        <v>765</v>
      </c>
      <c r="B802" s="7">
        <v>1.0361763550095064</v>
      </c>
      <c r="C802" s="28">
        <v>6535.2467337644139</v>
      </c>
      <c r="D802" s="28">
        <v>6307.0795836722755</v>
      </c>
    </row>
    <row r="803" spans="1:4" x14ac:dyDescent="0.2">
      <c r="A803">
        <v>766</v>
      </c>
      <c r="B803" s="7">
        <v>0.98540764151433802</v>
      </c>
      <c r="C803" s="28">
        <v>5223.6861728358626</v>
      </c>
      <c r="D803" s="28">
        <v>5301.0408614330363</v>
      </c>
    </row>
    <row r="804" spans="1:4" x14ac:dyDescent="0.2">
      <c r="A804">
        <v>767</v>
      </c>
      <c r="B804" s="7">
        <v>0.93772890353185545</v>
      </c>
      <c r="C804" s="28">
        <v>6006.4725333004162</v>
      </c>
      <c r="D804" s="28">
        <v>6405.3400835547254</v>
      </c>
    </row>
    <row r="805" spans="1:4" x14ac:dyDescent="0.2">
      <c r="A805">
        <v>768</v>
      </c>
      <c r="B805" s="7">
        <v>0.71476013793281012</v>
      </c>
      <c r="C805" s="28">
        <v>6508.1972313859987</v>
      </c>
      <c r="D805" s="28">
        <v>9105.4283611963147</v>
      </c>
    </row>
    <row r="806" spans="1:4" x14ac:dyDescent="0.2">
      <c r="A806">
        <v>769</v>
      </c>
      <c r="B806" s="7">
        <v>0.68079329634116803</v>
      </c>
      <c r="C806" s="28">
        <v>6397.069948440635</v>
      </c>
      <c r="D806" s="28">
        <v>9396.4937416699413</v>
      </c>
    </row>
    <row r="807" spans="1:4" x14ac:dyDescent="0.2">
      <c r="A807">
        <v>770</v>
      </c>
      <c r="B807" s="7">
        <v>0.80923658156096234</v>
      </c>
      <c r="C807" s="28">
        <v>6314.1583067212014</v>
      </c>
      <c r="D807" s="28">
        <v>7802.6110665210153</v>
      </c>
    </row>
    <row r="808" spans="1:4" x14ac:dyDescent="0.2">
      <c r="A808">
        <v>771</v>
      </c>
      <c r="B808" s="7">
        <v>0.75277022395062243</v>
      </c>
      <c r="C808" s="28">
        <v>6841.1848530769994</v>
      </c>
      <c r="D808" s="28">
        <v>9088.0120326408432</v>
      </c>
    </row>
    <row r="809" spans="1:4" x14ac:dyDescent="0.2">
      <c r="A809">
        <v>772</v>
      </c>
      <c r="B809" s="7">
        <v>0.96299035979918557</v>
      </c>
      <c r="C809" s="28">
        <v>6727.2821273024419</v>
      </c>
      <c r="D809" s="28">
        <v>6985.8249969452409</v>
      </c>
    </row>
    <row r="810" spans="1:4" x14ac:dyDescent="0.2">
      <c r="A810">
        <v>773</v>
      </c>
      <c r="B810" s="7">
        <v>0.64030772883356768</v>
      </c>
      <c r="C810" s="28">
        <v>6618.9363258981211</v>
      </c>
      <c r="D810" s="28">
        <v>10337.117651157623</v>
      </c>
    </row>
    <row r="811" spans="1:4" x14ac:dyDescent="0.2">
      <c r="A811">
        <v>774</v>
      </c>
      <c r="B811" s="7">
        <v>0.6287035601384936</v>
      </c>
      <c r="C811" s="28">
        <v>9130.420666476004</v>
      </c>
      <c r="D811" s="28">
        <v>14522.616452918948</v>
      </c>
    </row>
    <row r="812" spans="1:4" x14ac:dyDescent="0.2">
      <c r="A812">
        <v>775</v>
      </c>
      <c r="B812" s="7">
        <v>0.78052736516541543</v>
      </c>
      <c r="C812" s="29">
        <v>7141.6437177111547</v>
      </c>
      <c r="D812" s="28">
        <v>9149.7672425586788</v>
      </c>
    </row>
    <row r="813" spans="1:4" x14ac:dyDescent="0.2">
      <c r="A813">
        <v>776</v>
      </c>
      <c r="B813" s="7">
        <v>0.80019562894285556</v>
      </c>
      <c r="C813" s="28">
        <v>5776.5587174718057</v>
      </c>
      <c r="D813" s="28">
        <v>7218.9331065245387</v>
      </c>
    </row>
    <row r="814" spans="1:4" x14ac:dyDescent="0.2">
      <c r="A814">
        <v>777</v>
      </c>
      <c r="B814" s="7">
        <v>0.68676493025555629</v>
      </c>
      <c r="C814" s="28">
        <v>9368.4927922237566</v>
      </c>
      <c r="D814" s="28">
        <v>13641.483977257822</v>
      </c>
    </row>
    <row r="815" spans="1:4" x14ac:dyDescent="0.2">
      <c r="A815">
        <v>778</v>
      </c>
      <c r="B815" s="7">
        <v>0.85748243122246137</v>
      </c>
      <c r="C815" s="28">
        <v>8077.9180733486646</v>
      </c>
      <c r="D815" s="28">
        <v>9420.5056327888378</v>
      </c>
    </row>
    <row r="816" spans="1:4" x14ac:dyDescent="0.2">
      <c r="A816">
        <v>779</v>
      </c>
      <c r="B816" s="7">
        <v>0.93354114303217095</v>
      </c>
      <c r="C816" s="28">
        <v>5512.2271090193772</v>
      </c>
      <c r="D816" s="28">
        <v>5904.6429288756253</v>
      </c>
    </row>
    <row r="817" spans="1:4" x14ac:dyDescent="0.2">
      <c r="A817">
        <v>780</v>
      </c>
      <c r="B817" s="7">
        <v>0.68003906222016219</v>
      </c>
      <c r="C817" s="28">
        <v>7315.3135557527403</v>
      </c>
      <c r="D817" s="28">
        <v>10757.196111455745</v>
      </c>
    </row>
    <row r="818" spans="1:4" x14ac:dyDescent="0.2">
      <c r="A818">
        <v>781</v>
      </c>
      <c r="B818" s="35">
        <v>1.0354857145273044</v>
      </c>
      <c r="C818" s="36">
        <v>5821.4325872031459</v>
      </c>
      <c r="D818" s="36">
        <v>5621.9342338881124</v>
      </c>
    </row>
    <row r="819" spans="1:4" x14ac:dyDescent="0.2">
      <c r="A819">
        <v>782</v>
      </c>
      <c r="B819" s="7">
        <v>0.80829321282988253</v>
      </c>
      <c r="C819" s="28">
        <v>7269.2890492616116</v>
      </c>
      <c r="D819" s="28">
        <v>8993.381280304704</v>
      </c>
    </row>
    <row r="820" spans="1:4" x14ac:dyDescent="0.2">
      <c r="A820">
        <v>783</v>
      </c>
      <c r="B820" s="7">
        <v>0.85394674877678867</v>
      </c>
      <c r="C820" s="28">
        <v>7612.7493039815363</v>
      </c>
      <c r="D820" s="28">
        <v>8914.7822330680447</v>
      </c>
    </row>
    <row r="821" spans="1:4" x14ac:dyDescent="0.2">
      <c r="A821">
        <v>784</v>
      </c>
      <c r="B821" s="7">
        <v>0.77196959057030057</v>
      </c>
      <c r="C821" s="28">
        <v>4313.160104871793</v>
      </c>
      <c r="D821" s="28">
        <v>5587.2150374283538</v>
      </c>
    </row>
    <row r="822" spans="1:4" x14ac:dyDescent="0.2">
      <c r="A822">
        <v>785</v>
      </c>
      <c r="B822" s="7">
        <v>1.1683125826177783</v>
      </c>
      <c r="C822" s="28">
        <v>7396.9118694101362</v>
      </c>
      <c r="D822" s="28">
        <v>6331.2781009652863</v>
      </c>
    </row>
    <row r="823" spans="1:4" x14ac:dyDescent="0.2">
      <c r="A823">
        <v>786</v>
      </c>
      <c r="B823" s="7">
        <v>0.63764412309100837</v>
      </c>
      <c r="C823" s="28">
        <v>5948.5272250274375</v>
      </c>
      <c r="D823" s="28">
        <v>9328.9140597606165</v>
      </c>
    </row>
    <row r="824" spans="1:4" x14ac:dyDescent="0.2">
      <c r="A824">
        <v>787</v>
      </c>
      <c r="B824" s="7">
        <v>0.85293980414853277</v>
      </c>
      <c r="C824" s="28">
        <v>8106.389476105478</v>
      </c>
      <c r="D824" s="28">
        <v>9504.0581254123463</v>
      </c>
    </row>
    <row r="825" spans="1:4" x14ac:dyDescent="0.2">
      <c r="A825">
        <v>788</v>
      </c>
      <c r="B825" s="7">
        <v>1.0221451430690909</v>
      </c>
      <c r="C825" s="28">
        <v>6337.3633188399308</v>
      </c>
      <c r="D825" s="28">
        <v>6200.0620575384992</v>
      </c>
    </row>
    <row r="826" spans="1:4" x14ac:dyDescent="0.2">
      <c r="A826">
        <v>789</v>
      </c>
      <c r="B826" s="7">
        <v>1.20923665209581</v>
      </c>
      <c r="C826" s="28">
        <v>6275.8813821083986</v>
      </c>
      <c r="D826" s="28">
        <v>5189.9529932633477</v>
      </c>
    </row>
    <row r="827" spans="1:4" x14ac:dyDescent="0.2">
      <c r="A827">
        <v>790</v>
      </c>
      <c r="B827" s="7">
        <v>0.65647034919447478</v>
      </c>
      <c r="C827" s="28">
        <v>7383.0165575502215</v>
      </c>
      <c r="D827" s="28">
        <v>11246.534693622627</v>
      </c>
    </row>
    <row r="828" spans="1:4" x14ac:dyDescent="0.2">
      <c r="A828">
        <v>791</v>
      </c>
      <c r="B828" s="7">
        <v>0.80068156459445561</v>
      </c>
      <c r="C828" s="28">
        <v>7419.3659846207975</v>
      </c>
      <c r="D828" s="28">
        <v>9266.3129922052085</v>
      </c>
    </row>
    <row r="829" spans="1:4" x14ac:dyDescent="0.2">
      <c r="A829">
        <v>792</v>
      </c>
      <c r="B829" s="7">
        <v>0.93510709110522061</v>
      </c>
      <c r="C829" s="28">
        <v>6634.2840934538872</v>
      </c>
      <c r="D829" s="28">
        <v>7094.6784133704969</v>
      </c>
    </row>
    <row r="830" spans="1:4" x14ac:dyDescent="0.2">
      <c r="A830">
        <v>793</v>
      </c>
      <c r="B830" s="7">
        <v>0.84879579844913966</v>
      </c>
      <c r="C830" s="28">
        <v>7136.2271453389012</v>
      </c>
      <c r="D830" s="28">
        <v>8407.4722782296012</v>
      </c>
    </row>
    <row r="831" spans="1:4" x14ac:dyDescent="0.2">
      <c r="A831">
        <v>794</v>
      </c>
      <c r="B831" s="7">
        <v>0.81932837891590093</v>
      </c>
      <c r="C831" s="28">
        <v>6478.6024974508873</v>
      </c>
      <c r="D831" s="28">
        <v>7907.211155096431</v>
      </c>
    </row>
    <row r="832" spans="1:4" x14ac:dyDescent="0.2">
      <c r="A832">
        <v>795</v>
      </c>
      <c r="B832" s="7">
        <v>0.60421770818325093</v>
      </c>
      <c r="C832" s="28">
        <v>8459.7029901199494</v>
      </c>
      <c r="D832" s="28">
        <v>14001.084171393133</v>
      </c>
    </row>
    <row r="833" spans="1:4" x14ac:dyDescent="0.2">
      <c r="A833">
        <v>796</v>
      </c>
      <c r="B833" s="7">
        <v>0.86760839524219868</v>
      </c>
      <c r="C833" s="28">
        <v>8068.513816377028</v>
      </c>
      <c r="D833" s="28">
        <v>9299.7184681743984</v>
      </c>
    </row>
    <row r="834" spans="1:4" x14ac:dyDescent="0.2">
      <c r="A834">
        <v>797</v>
      </c>
      <c r="B834" s="7">
        <v>0.96384753638318532</v>
      </c>
      <c r="C834" s="28">
        <v>7399.22494501033</v>
      </c>
      <c r="D834" s="28">
        <v>7676.7586840297827</v>
      </c>
    </row>
    <row r="835" spans="1:4" x14ac:dyDescent="0.2">
      <c r="A835">
        <v>798</v>
      </c>
      <c r="B835" s="7">
        <v>0.66027921737056339</v>
      </c>
      <c r="C835" s="28">
        <v>7267.3662965506464</v>
      </c>
      <c r="D835" s="28">
        <v>11006.504680688804</v>
      </c>
    </row>
    <row r="836" spans="1:4" x14ac:dyDescent="0.2">
      <c r="A836">
        <v>799</v>
      </c>
      <c r="B836" s="7">
        <v>0.81746647790861537</v>
      </c>
      <c r="C836" s="29">
        <v>5680.3256958896982</v>
      </c>
      <c r="D836" s="28">
        <v>6948.6955727188879</v>
      </c>
    </row>
    <row r="837" spans="1:4" x14ac:dyDescent="0.2">
      <c r="A837">
        <v>800</v>
      </c>
      <c r="B837" s="7">
        <v>0.71775589805998408</v>
      </c>
      <c r="C837" s="28">
        <v>6801.4085074803552</v>
      </c>
      <c r="D837" s="28">
        <v>9475.9353783978931</v>
      </c>
    </row>
    <row r="838" spans="1:4" x14ac:dyDescent="0.2">
      <c r="A838">
        <v>801</v>
      </c>
      <c r="B838" s="7">
        <v>0.87554601849810254</v>
      </c>
      <c r="C838" s="28">
        <v>6363.2599066185412</v>
      </c>
      <c r="D838" s="28">
        <v>7267.761799127331</v>
      </c>
    </row>
    <row r="839" spans="1:4" x14ac:dyDescent="0.2">
      <c r="A839">
        <v>802</v>
      </c>
      <c r="B839" s="7">
        <v>1.1110635618549676</v>
      </c>
      <c r="C839" s="28">
        <v>4990.6756203542027</v>
      </c>
      <c r="D839" s="28">
        <v>4491.8002819047169</v>
      </c>
    </row>
    <row r="840" spans="1:4" x14ac:dyDescent="0.2">
      <c r="A840">
        <v>803</v>
      </c>
      <c r="B840" s="7">
        <v>0.82455572733791094</v>
      </c>
      <c r="C840" s="28">
        <v>8078.3733266382478</v>
      </c>
      <c r="D840" s="28">
        <v>9797.2436050130691</v>
      </c>
    </row>
    <row r="841" spans="1:4" x14ac:dyDescent="0.2">
      <c r="A841">
        <v>804</v>
      </c>
      <c r="B841" s="7">
        <v>1.0324840915248839</v>
      </c>
      <c r="C841" s="28">
        <v>7348.341224333738</v>
      </c>
      <c r="D841" s="28">
        <v>7117.1471644477497</v>
      </c>
    </row>
    <row r="842" spans="1:4" x14ac:dyDescent="0.2">
      <c r="A842">
        <v>805</v>
      </c>
      <c r="B842" s="7">
        <v>0.74729946424066185</v>
      </c>
      <c r="C842" s="28">
        <v>5806.8976246345828</v>
      </c>
      <c r="D842" s="28">
        <v>7770.5095513952056</v>
      </c>
    </row>
    <row r="843" spans="1:4" x14ac:dyDescent="0.2">
      <c r="A843">
        <v>806</v>
      </c>
      <c r="B843" s="7">
        <v>0.66778220732439308</v>
      </c>
      <c r="C843" s="28">
        <v>7191.0964617805193</v>
      </c>
      <c r="D843" s="28">
        <v>10768.625433422565</v>
      </c>
    </row>
    <row r="844" spans="1:4" x14ac:dyDescent="0.2">
      <c r="A844">
        <v>807</v>
      </c>
      <c r="B844" s="7">
        <v>0.99140994761573165</v>
      </c>
      <c r="C844" s="28">
        <v>7093.9478665440083</v>
      </c>
      <c r="D844" s="28">
        <v>7155.4132411162846</v>
      </c>
    </row>
    <row r="845" spans="1:4" x14ac:dyDescent="0.2">
      <c r="A845">
        <v>808</v>
      </c>
      <c r="B845" s="35">
        <v>0.82971310319038416</v>
      </c>
      <c r="C845" s="36">
        <v>6274.2075174246202</v>
      </c>
      <c r="D845" s="36">
        <v>7561.9000029037197</v>
      </c>
    </row>
    <row r="846" spans="1:4" x14ac:dyDescent="0.2">
      <c r="A846">
        <v>809</v>
      </c>
      <c r="B846" s="7">
        <v>1.1923018410749346</v>
      </c>
      <c r="C846" s="28">
        <v>7545.6461321711595</v>
      </c>
      <c r="D846" s="28">
        <v>6328.637491130843</v>
      </c>
    </row>
    <row r="847" spans="1:4" x14ac:dyDescent="0.2">
      <c r="A847">
        <v>810</v>
      </c>
      <c r="B847" s="7">
        <v>0.79400803847666346</v>
      </c>
      <c r="C847" s="28">
        <v>6400.9955354627473</v>
      </c>
      <c r="D847" s="28">
        <v>8061.62560739727</v>
      </c>
    </row>
    <row r="848" spans="1:4" x14ac:dyDescent="0.2">
      <c r="A848">
        <v>811</v>
      </c>
      <c r="B848" s="7">
        <v>0.8107199343610656</v>
      </c>
      <c r="C848" s="28">
        <v>7258.5516690532295</v>
      </c>
      <c r="D848" s="28">
        <v>8953.2172102980894</v>
      </c>
    </row>
    <row r="849" spans="1:4" x14ac:dyDescent="0.2">
      <c r="A849">
        <v>812</v>
      </c>
      <c r="B849" s="7">
        <v>0.93073648236935558</v>
      </c>
      <c r="C849" s="28">
        <v>7531.2297605347103</v>
      </c>
      <c r="D849" s="28">
        <v>8091.6885747968345</v>
      </c>
    </row>
    <row r="850" spans="1:4" x14ac:dyDescent="0.2">
      <c r="A850">
        <v>813</v>
      </c>
      <c r="B850" s="7">
        <v>0.86922734044425987</v>
      </c>
      <c r="C850" s="28">
        <v>6546.8926344707143</v>
      </c>
      <c r="D850" s="28">
        <v>7531.8530951000857</v>
      </c>
    </row>
    <row r="851" spans="1:4" x14ac:dyDescent="0.2">
      <c r="A851">
        <v>814</v>
      </c>
      <c r="B851" s="7">
        <v>0.77386980578963804</v>
      </c>
      <c r="C851" s="28">
        <v>7302.6257755256029</v>
      </c>
      <c r="D851" s="28">
        <v>9436.5043330178523</v>
      </c>
    </row>
    <row r="852" spans="1:4" x14ac:dyDescent="0.2">
      <c r="A852">
        <v>815</v>
      </c>
      <c r="B852" s="7">
        <v>0.79933357186939169</v>
      </c>
      <c r="C852" s="28">
        <v>7779.0906934002323</v>
      </c>
      <c r="D852" s="28">
        <v>9731.9704403349006</v>
      </c>
    </row>
    <row r="853" spans="1:4" x14ac:dyDescent="0.2">
      <c r="A853">
        <v>816</v>
      </c>
      <c r="B853" s="7">
        <v>1.2447767881821559</v>
      </c>
      <c r="C853" s="28">
        <v>6541.5903182286766</v>
      </c>
      <c r="D853" s="28">
        <v>5255.2316048420762</v>
      </c>
    </row>
    <row r="854" spans="1:4" x14ac:dyDescent="0.2">
      <c r="A854">
        <v>817</v>
      </c>
      <c r="B854" s="7">
        <v>0.8888231951206409</v>
      </c>
      <c r="C854" s="28">
        <v>7250.8354905196311</v>
      </c>
      <c r="D854" s="28">
        <v>8157.7928325053081</v>
      </c>
    </row>
    <row r="855" spans="1:4" x14ac:dyDescent="0.2">
      <c r="A855">
        <v>818</v>
      </c>
      <c r="B855" s="7">
        <v>1.0429232398069868</v>
      </c>
      <c r="C855" s="28">
        <v>6544.6587404609545</v>
      </c>
      <c r="D855" s="28">
        <v>6275.3024294215274</v>
      </c>
    </row>
    <row r="856" spans="1:4" x14ac:dyDescent="0.2">
      <c r="A856">
        <v>819</v>
      </c>
      <c r="B856" s="7">
        <v>0.86782366003659828</v>
      </c>
      <c r="C856" s="28">
        <v>6325.7389020211267</v>
      </c>
      <c r="D856" s="28">
        <v>7289.1984781267138</v>
      </c>
    </row>
    <row r="857" spans="1:4" x14ac:dyDescent="0.2">
      <c r="A857">
        <v>820</v>
      </c>
      <c r="B857" s="7">
        <v>0.81362341651124748</v>
      </c>
      <c r="C857" s="28">
        <v>6261.6665368962185</v>
      </c>
      <c r="D857" s="28">
        <v>7696.0254705373982</v>
      </c>
    </row>
    <row r="858" spans="1:4" x14ac:dyDescent="0.2">
      <c r="A858">
        <v>821</v>
      </c>
      <c r="B858" s="7">
        <v>0.73911859746826991</v>
      </c>
      <c r="C858" s="28">
        <v>6493.6615346631443</v>
      </c>
      <c r="D858" s="28">
        <v>8785.6827806878646</v>
      </c>
    </row>
    <row r="859" spans="1:4" x14ac:dyDescent="0.2">
      <c r="A859">
        <v>822</v>
      </c>
      <c r="B859" s="7">
        <v>0.70134684961448102</v>
      </c>
      <c r="C859" s="28">
        <v>6576.5778848491682</v>
      </c>
      <c r="D859" s="28">
        <v>9377.0691184600128</v>
      </c>
    </row>
    <row r="860" spans="1:4" x14ac:dyDescent="0.2">
      <c r="A860">
        <v>823</v>
      </c>
      <c r="B860" s="7">
        <v>0.76844697874851065</v>
      </c>
      <c r="C860" s="28">
        <v>5249.7836203846909</v>
      </c>
      <c r="D860" s="28">
        <v>6831.6796936783658</v>
      </c>
    </row>
    <row r="861" spans="1:4" x14ac:dyDescent="0.2">
      <c r="A861">
        <v>824</v>
      </c>
      <c r="B861" s="7">
        <v>0.92271081930268029</v>
      </c>
      <c r="C861" s="28">
        <v>5743.4188075280908</v>
      </c>
      <c r="D861" s="28">
        <v>6224.5057577937159</v>
      </c>
    </row>
    <row r="862" spans="1:4" x14ac:dyDescent="0.2">
      <c r="A862">
        <v>825</v>
      </c>
      <c r="B862" s="7">
        <v>0.73624313790664431</v>
      </c>
      <c r="C862" s="28">
        <v>6187.8314396489313</v>
      </c>
      <c r="D862" s="28">
        <v>8404.6032092642054</v>
      </c>
    </row>
    <row r="863" spans="1:4" x14ac:dyDescent="0.2">
      <c r="A863">
        <v>826</v>
      </c>
      <c r="B863" s="7">
        <v>0.90488322029253077</v>
      </c>
      <c r="C863" s="28">
        <v>8416.2349989029153</v>
      </c>
      <c r="D863" s="28">
        <v>9300.9073548541583</v>
      </c>
    </row>
    <row r="864" spans="1:4" x14ac:dyDescent="0.2">
      <c r="A864">
        <v>827</v>
      </c>
      <c r="B864" s="7">
        <v>0.97976600838629491</v>
      </c>
      <c r="C864" s="28">
        <v>5046.2436956202837</v>
      </c>
      <c r="D864" s="28">
        <v>5150.4580200037799</v>
      </c>
    </row>
    <row r="865" spans="1:4" x14ac:dyDescent="0.2">
      <c r="A865">
        <v>828</v>
      </c>
      <c r="B865" s="7">
        <v>0.76470007666028028</v>
      </c>
      <c r="C865" s="28">
        <v>7834.3490689747596</v>
      </c>
      <c r="D865" s="28">
        <v>10244.995793893697</v>
      </c>
    </row>
    <row r="866" spans="1:4" x14ac:dyDescent="0.2">
      <c r="A866">
        <v>829</v>
      </c>
      <c r="B866" s="7">
        <v>0.80708609727954794</v>
      </c>
      <c r="C866" s="29">
        <v>7287.2654010528076</v>
      </c>
      <c r="D866" s="28">
        <v>9029.1053527201821</v>
      </c>
    </row>
    <row r="867" spans="1:4" x14ac:dyDescent="0.2">
      <c r="A867">
        <v>830</v>
      </c>
      <c r="B867" s="7">
        <v>0.93743904861394256</v>
      </c>
      <c r="C867" s="28">
        <v>6919.952793456554</v>
      </c>
      <c r="D867" s="28">
        <v>7381.7629036128819</v>
      </c>
    </row>
    <row r="868" spans="1:4" x14ac:dyDescent="0.2">
      <c r="A868">
        <v>831</v>
      </c>
      <c r="B868" s="7">
        <v>0.81130624270806528</v>
      </c>
      <c r="C868" s="28">
        <v>6536.8977482765986</v>
      </c>
      <c r="D868" s="28">
        <v>8057.250646139536</v>
      </c>
    </row>
    <row r="869" spans="1:4" x14ac:dyDescent="0.2">
      <c r="A869">
        <v>832</v>
      </c>
      <c r="B869" s="7">
        <v>1.0088912147684876</v>
      </c>
      <c r="C869" s="28">
        <v>7659.2224948704479</v>
      </c>
      <c r="D869" s="28">
        <v>7591.7228564905536</v>
      </c>
    </row>
    <row r="870" spans="1:4" x14ac:dyDescent="0.2">
      <c r="A870">
        <v>833</v>
      </c>
      <c r="B870" s="7">
        <v>0.90675940523646936</v>
      </c>
      <c r="C870" s="28">
        <v>7131.9899149411067</v>
      </c>
      <c r="D870" s="28">
        <v>7865.3608374552123</v>
      </c>
    </row>
    <row r="871" spans="1:4" x14ac:dyDescent="0.2">
      <c r="A871">
        <v>834</v>
      </c>
      <c r="B871" s="7">
        <v>0.70554705312516042</v>
      </c>
      <c r="C871" s="28">
        <v>5627.9680633031712</v>
      </c>
      <c r="D871" s="28">
        <v>7976.7437740325995</v>
      </c>
    </row>
    <row r="872" spans="1:4" x14ac:dyDescent="0.2">
      <c r="A872">
        <v>835</v>
      </c>
      <c r="B872" s="7">
        <v>0.64346168711043283</v>
      </c>
      <c r="C872" s="28">
        <v>7333.4420617454844</v>
      </c>
      <c r="D872" s="28">
        <v>11396.858909622846</v>
      </c>
    </row>
    <row r="873" spans="1:4" x14ac:dyDescent="0.2">
      <c r="A873">
        <v>836</v>
      </c>
      <c r="B873" s="7">
        <v>0.95897489082484277</v>
      </c>
      <c r="C873" s="28">
        <v>6018.7156187737473</v>
      </c>
      <c r="D873" s="28">
        <v>6276.1972981345434</v>
      </c>
    </row>
    <row r="874" spans="1:4" x14ac:dyDescent="0.2">
      <c r="A874">
        <v>837</v>
      </c>
      <c r="B874" s="7">
        <v>0.90595497151598448</v>
      </c>
      <c r="C874" s="28">
        <v>5867.9665477295202</v>
      </c>
      <c r="D874" s="28">
        <v>6477.1061832248988</v>
      </c>
    </row>
    <row r="875" spans="1:4" x14ac:dyDescent="0.2">
      <c r="A875">
        <v>838</v>
      </c>
      <c r="B875" s="7">
        <v>0.98984013935081094</v>
      </c>
      <c r="C875" s="28">
        <v>6057.837817744492</v>
      </c>
      <c r="D875" s="28">
        <v>6120.0163308365527</v>
      </c>
    </row>
    <row r="876" spans="1:4" x14ac:dyDescent="0.2">
      <c r="A876">
        <v>839</v>
      </c>
      <c r="B876" s="7">
        <v>0.7480162291714656</v>
      </c>
      <c r="C876" s="28">
        <v>7428.4067792116439</v>
      </c>
      <c r="D876" s="28">
        <v>9930.8096395711382</v>
      </c>
    </row>
    <row r="877" spans="1:4" x14ac:dyDescent="0.2">
      <c r="A877">
        <v>840</v>
      </c>
      <c r="B877" s="7">
        <v>1.0183918190979382</v>
      </c>
      <c r="C877" s="28">
        <v>7865.0348151988401</v>
      </c>
      <c r="D877" s="28">
        <v>7722.9948902824644</v>
      </c>
    </row>
    <row r="878" spans="1:4" x14ac:dyDescent="0.2">
      <c r="A878">
        <v>841</v>
      </c>
      <c r="B878" s="7">
        <v>1.1206996710577526</v>
      </c>
      <c r="C878" s="28">
        <v>7533.9138390900516</v>
      </c>
      <c r="D878" s="28">
        <v>6722.5091910478568</v>
      </c>
    </row>
    <row r="879" spans="1:4" x14ac:dyDescent="0.2">
      <c r="A879">
        <v>842</v>
      </c>
      <c r="B879" s="7">
        <v>0.55046023081212159</v>
      </c>
      <c r="C879" s="28">
        <v>6430.0627451380278</v>
      </c>
      <c r="D879" s="28">
        <v>11681.248499371941</v>
      </c>
    </row>
    <row r="880" spans="1:4" x14ac:dyDescent="0.2">
      <c r="A880">
        <v>843</v>
      </c>
      <c r="B880" s="7">
        <v>0.8820330155223024</v>
      </c>
      <c r="C880" s="28">
        <v>7670.748785123471</v>
      </c>
      <c r="D880" s="28">
        <v>8696.6685488311123</v>
      </c>
    </row>
    <row r="881" spans="1:4" x14ac:dyDescent="0.2">
      <c r="A881">
        <v>844</v>
      </c>
      <c r="B881" s="7">
        <v>0.69724245357517489</v>
      </c>
      <c r="C881" s="28">
        <v>6927.9634366328464</v>
      </c>
      <c r="D881" s="28">
        <v>9936.2329432309743</v>
      </c>
    </row>
    <row r="882" spans="1:4" x14ac:dyDescent="0.2">
      <c r="A882">
        <v>845</v>
      </c>
      <c r="B882" s="7">
        <v>0.9370725188948601</v>
      </c>
      <c r="C882" s="28">
        <v>8209.6597731578622</v>
      </c>
      <c r="D882" s="28">
        <v>8760.9652482819092</v>
      </c>
    </row>
    <row r="883" spans="1:4" x14ac:dyDescent="0.2">
      <c r="A883">
        <v>846</v>
      </c>
      <c r="B883" s="7">
        <v>0.78225178543499663</v>
      </c>
      <c r="C883" s="28">
        <v>4552.9310669627139</v>
      </c>
      <c r="D883" s="28">
        <v>5820.2884950028056</v>
      </c>
    </row>
    <row r="884" spans="1:4" x14ac:dyDescent="0.2">
      <c r="A884">
        <v>847</v>
      </c>
      <c r="B884" s="7">
        <v>0.62661393962314893</v>
      </c>
      <c r="C884" s="28">
        <v>5539.9904209476972</v>
      </c>
      <c r="D884" s="28">
        <v>8841.1541311696565</v>
      </c>
    </row>
    <row r="885" spans="1:4" x14ac:dyDescent="0.2">
      <c r="A885">
        <v>848</v>
      </c>
      <c r="B885" s="7">
        <v>1.3004569065448432</v>
      </c>
      <c r="C885" s="28">
        <v>6362.7119031773145</v>
      </c>
      <c r="D885" s="28">
        <v>4892.6741602551601</v>
      </c>
    </row>
    <row r="886" spans="1:4" x14ac:dyDescent="0.2">
      <c r="A886">
        <v>849</v>
      </c>
      <c r="B886" s="7">
        <v>0.77430961609030913</v>
      </c>
      <c r="C886" s="28">
        <v>5324.7938371868513</v>
      </c>
      <c r="D886" s="28">
        <v>6876.8277269667942</v>
      </c>
    </row>
    <row r="887" spans="1:4" x14ac:dyDescent="0.2">
      <c r="A887">
        <v>850</v>
      </c>
      <c r="B887" s="7">
        <v>0.88526811955211571</v>
      </c>
      <c r="C887" s="28">
        <v>7337.5053791317296</v>
      </c>
      <c r="D887" s="28">
        <v>8288.4554600746251</v>
      </c>
    </row>
    <row r="888" spans="1:4" x14ac:dyDescent="0.2">
      <c r="A888">
        <v>851</v>
      </c>
      <c r="B888" s="7">
        <v>0.80125259012861072</v>
      </c>
      <c r="C888" s="28">
        <v>7589.9940406341366</v>
      </c>
      <c r="D888" s="28">
        <v>9472.6608489538248</v>
      </c>
    </row>
    <row r="889" spans="1:4" x14ac:dyDescent="0.2">
      <c r="A889">
        <v>852</v>
      </c>
      <c r="B889" s="35">
        <v>0.76726394498253381</v>
      </c>
      <c r="C889" s="36">
        <v>8650.5820177640944</v>
      </c>
      <c r="D889" s="36">
        <v>11274.584286586043</v>
      </c>
    </row>
    <row r="890" spans="1:4" x14ac:dyDescent="0.2">
      <c r="A890">
        <v>853</v>
      </c>
      <c r="B890" s="7">
        <v>0.94370298928310792</v>
      </c>
      <c r="C890" s="28">
        <v>4927.7856558830081</v>
      </c>
      <c r="D890" s="28">
        <v>5221.7548443143569</v>
      </c>
    </row>
    <row r="891" spans="1:4" x14ac:dyDescent="0.2">
      <c r="A891">
        <v>854</v>
      </c>
      <c r="B891" s="7">
        <v>0.73995819050467126</v>
      </c>
      <c r="C891" s="28">
        <v>6141.8174196861401</v>
      </c>
      <c r="D891" s="28">
        <v>8300.2222267412926</v>
      </c>
    </row>
    <row r="892" spans="1:4" x14ac:dyDescent="0.2">
      <c r="A892">
        <v>855</v>
      </c>
      <c r="B892" s="7">
        <v>1.0472283308697241</v>
      </c>
      <c r="C892" s="28">
        <v>6578.9809747778454</v>
      </c>
      <c r="D892" s="28">
        <v>6282.2794044484981</v>
      </c>
    </row>
    <row r="893" spans="1:4" x14ac:dyDescent="0.2">
      <c r="A893">
        <v>856</v>
      </c>
      <c r="B893" s="7">
        <v>0.94417735702120975</v>
      </c>
      <c r="C893" s="28">
        <v>6986.3531507240241</v>
      </c>
      <c r="D893" s="28">
        <v>7399.4076417647921</v>
      </c>
    </row>
    <row r="894" spans="1:4" x14ac:dyDescent="0.2">
      <c r="A894">
        <v>857</v>
      </c>
      <c r="B894" s="7">
        <v>0.69464027958909202</v>
      </c>
      <c r="C894" s="28">
        <v>6163.0195975743882</v>
      </c>
      <c r="D894" s="28">
        <v>8872.2462239305569</v>
      </c>
    </row>
    <row r="895" spans="1:4" x14ac:dyDescent="0.2">
      <c r="A895">
        <v>858</v>
      </c>
      <c r="B895" s="7">
        <v>0.66765949568883975</v>
      </c>
      <c r="C895" s="28">
        <v>6591.467602851244</v>
      </c>
      <c r="D895" s="28">
        <v>9872.4988492085686</v>
      </c>
    </row>
    <row r="896" spans="1:4" x14ac:dyDescent="0.2">
      <c r="A896">
        <v>859</v>
      </c>
      <c r="B896" s="7">
        <v>0.82940033911644928</v>
      </c>
      <c r="C896" s="28">
        <v>7556.8118901175276</v>
      </c>
      <c r="D896" s="28">
        <v>9111.1753078949951</v>
      </c>
    </row>
    <row r="897" spans="1:4" x14ac:dyDescent="0.2">
      <c r="A897">
        <v>860</v>
      </c>
      <c r="B897" s="7">
        <v>1.3081372095801678</v>
      </c>
      <c r="C897" s="28">
        <v>8563.7774972993266</v>
      </c>
      <c r="D897" s="28">
        <v>6546.5437681783978</v>
      </c>
    </row>
    <row r="898" spans="1:4" x14ac:dyDescent="0.2">
      <c r="A898">
        <v>861</v>
      </c>
      <c r="B898" s="7">
        <v>0.9143098014516351</v>
      </c>
      <c r="C898" s="28">
        <v>8415.8565262874581</v>
      </c>
      <c r="D898" s="28">
        <v>9204.6005773160668</v>
      </c>
    </row>
    <row r="899" spans="1:4" x14ac:dyDescent="0.2">
      <c r="A899">
        <v>862</v>
      </c>
      <c r="B899" s="7">
        <v>0.70132900266594156</v>
      </c>
      <c r="C899" s="28">
        <v>7226.857461558373</v>
      </c>
      <c r="D899" s="28">
        <v>10304.518184884882</v>
      </c>
    </row>
    <row r="900" spans="1:4" x14ac:dyDescent="0.2">
      <c r="A900">
        <v>863</v>
      </c>
      <c r="B900" s="7">
        <v>0.73260078570571352</v>
      </c>
      <c r="C900" s="28">
        <v>6525.9654768650053</v>
      </c>
      <c r="D900" s="28">
        <v>8907.9422301991526</v>
      </c>
    </row>
    <row r="901" spans="1:4" x14ac:dyDescent="0.2">
      <c r="A901">
        <v>864</v>
      </c>
      <c r="B901" s="7">
        <v>1.0760302527072909</v>
      </c>
      <c r="C901" s="28">
        <v>7330.8609961742177</v>
      </c>
      <c r="D901" s="28">
        <v>6812.8762901691471</v>
      </c>
    </row>
    <row r="902" spans="1:4" x14ac:dyDescent="0.2">
      <c r="A902">
        <v>865</v>
      </c>
      <c r="B902" s="7">
        <v>0.74395403637317603</v>
      </c>
      <c r="C902" s="28">
        <v>7191.960309672495</v>
      </c>
      <c r="D902" s="28">
        <v>9667.2105507132746</v>
      </c>
    </row>
    <row r="903" spans="1:4" x14ac:dyDescent="0.2">
      <c r="A903">
        <v>866</v>
      </c>
      <c r="B903" s="7">
        <v>0.9120983545718353</v>
      </c>
      <c r="C903" s="28">
        <v>5074.6137392571109</v>
      </c>
      <c r="D903" s="28">
        <v>5563.6694374251756</v>
      </c>
    </row>
    <row r="904" spans="1:4" x14ac:dyDescent="0.2">
      <c r="A904">
        <v>867</v>
      </c>
      <c r="B904" s="7">
        <v>0.80926605586018319</v>
      </c>
      <c r="C904" s="28">
        <v>4071.2646601404085</v>
      </c>
      <c r="D904" s="28">
        <v>5030.8111042826195</v>
      </c>
    </row>
    <row r="905" spans="1:4" x14ac:dyDescent="0.2">
      <c r="A905">
        <v>868</v>
      </c>
      <c r="B905" s="7">
        <v>0.84873681897631315</v>
      </c>
      <c r="C905" s="28">
        <v>7009.6287747576744</v>
      </c>
      <c r="D905" s="28">
        <v>8258.8955940572923</v>
      </c>
    </row>
    <row r="906" spans="1:4" x14ac:dyDescent="0.2">
      <c r="A906">
        <v>869</v>
      </c>
      <c r="B906" s="7">
        <v>0.50702080109980407</v>
      </c>
      <c r="C906" s="28">
        <v>7166.9610495256111</v>
      </c>
      <c r="D906" s="28">
        <v>14135.437903098647</v>
      </c>
    </row>
    <row r="907" spans="1:4" x14ac:dyDescent="0.2">
      <c r="A907">
        <v>870</v>
      </c>
      <c r="B907" s="7">
        <v>0.86480618527993691</v>
      </c>
      <c r="C907" s="28">
        <v>7386.6251232397881</v>
      </c>
      <c r="D907" s="28">
        <v>8541.3648155728042</v>
      </c>
    </row>
    <row r="908" spans="1:4" x14ac:dyDescent="0.2">
      <c r="A908">
        <v>871</v>
      </c>
      <c r="B908" s="35">
        <v>0.63741936919009667</v>
      </c>
      <c r="C908" s="36">
        <v>5932.7391147000526</v>
      </c>
      <c r="D908" s="36">
        <v>9307.4346363810291</v>
      </c>
    </row>
    <row r="909" spans="1:4" x14ac:dyDescent="0.2">
      <c r="A909">
        <v>872</v>
      </c>
      <c r="B909" s="7">
        <v>0.93295687562848695</v>
      </c>
      <c r="C909" s="28">
        <v>6367.9463857278133</v>
      </c>
      <c r="D909" s="28">
        <v>6825.5527689187593</v>
      </c>
    </row>
    <row r="910" spans="1:4" x14ac:dyDescent="0.2">
      <c r="A910">
        <v>873</v>
      </c>
      <c r="B910" s="7">
        <v>0.90420365614508746</v>
      </c>
      <c r="C910" s="28">
        <v>5901.7663878388794</v>
      </c>
      <c r="D910" s="28">
        <v>6527.0322097568351</v>
      </c>
    </row>
    <row r="911" spans="1:4" x14ac:dyDescent="0.2">
      <c r="A911">
        <v>874</v>
      </c>
      <c r="B911" s="7">
        <v>1.205669220913518</v>
      </c>
      <c r="C911" s="28">
        <v>5914.8313774482012</v>
      </c>
      <c r="D911" s="28">
        <v>4905.8491954921265</v>
      </c>
    </row>
    <row r="912" spans="1:4" x14ac:dyDescent="0.2">
      <c r="A912">
        <v>875</v>
      </c>
      <c r="B912" s="7">
        <v>0.82689544023326977</v>
      </c>
      <c r="C912" s="28">
        <v>6140.8474277409368</v>
      </c>
      <c r="D912" s="28">
        <v>7426.3892736046346</v>
      </c>
    </row>
    <row r="913" spans="1:4" x14ac:dyDescent="0.2">
      <c r="A913">
        <v>876</v>
      </c>
      <c r="B913" s="7">
        <v>0.87878925039256295</v>
      </c>
      <c r="C913" s="28">
        <v>9057.3368158463636</v>
      </c>
      <c r="D913" s="28">
        <v>10306.608566047402</v>
      </c>
    </row>
    <row r="914" spans="1:4" x14ac:dyDescent="0.2">
      <c r="A914">
        <v>877</v>
      </c>
      <c r="B914" s="7">
        <v>0.70166392321641524</v>
      </c>
      <c r="C914" s="28">
        <v>7926.5861476975433</v>
      </c>
      <c r="D914" s="28">
        <v>11296.841529720112</v>
      </c>
    </row>
    <row r="915" spans="1:4" x14ac:dyDescent="0.2">
      <c r="A915">
        <v>878</v>
      </c>
      <c r="B915" s="7">
        <v>0.61014630586231355</v>
      </c>
      <c r="C915" s="28">
        <v>7286.9532482598006</v>
      </c>
      <c r="D915" s="28">
        <v>11942.960529706435</v>
      </c>
    </row>
    <row r="916" spans="1:4" x14ac:dyDescent="0.2">
      <c r="A916">
        <v>879</v>
      </c>
      <c r="B916" s="7">
        <v>0.79058205285583227</v>
      </c>
      <c r="C916" s="28">
        <v>7856.6167958997839</v>
      </c>
      <c r="D916" s="28">
        <v>9937.7626490750717</v>
      </c>
    </row>
    <row r="917" spans="1:4" x14ac:dyDescent="0.2">
      <c r="A917">
        <v>880</v>
      </c>
      <c r="B917" s="7">
        <v>0.77899025082024309</v>
      </c>
      <c r="C917" s="28">
        <v>6431.6837336134031</v>
      </c>
      <c r="D917" s="28">
        <v>8256.4367485229996</v>
      </c>
    </row>
    <row r="918" spans="1:4" x14ac:dyDescent="0.2">
      <c r="A918">
        <v>881</v>
      </c>
      <c r="B918" s="7">
        <v>0.66989248808652313</v>
      </c>
      <c r="C918" s="28">
        <v>5973.7834129876392</v>
      </c>
      <c r="D918" s="28">
        <v>8917.5256018336877</v>
      </c>
    </row>
    <row r="919" spans="1:4" x14ac:dyDescent="0.2">
      <c r="A919">
        <v>882</v>
      </c>
      <c r="B919" s="7">
        <v>0.807598249226265</v>
      </c>
      <c r="C919" s="28">
        <v>6512.1270452956705</v>
      </c>
      <c r="D919" s="28">
        <v>8063.5725145946499</v>
      </c>
    </row>
    <row r="920" spans="1:4" x14ac:dyDescent="0.2">
      <c r="A920">
        <v>883</v>
      </c>
      <c r="B920" s="7">
        <v>0.71427731522430271</v>
      </c>
      <c r="C920" s="28">
        <v>7317.8996204055566</v>
      </c>
      <c r="D920" s="28">
        <v>10245.179938421445</v>
      </c>
    </row>
    <row r="921" spans="1:4" x14ac:dyDescent="0.2">
      <c r="A921">
        <v>884</v>
      </c>
      <c r="B921" s="7">
        <v>1.1849216745202922</v>
      </c>
      <c r="C921" s="28">
        <v>5021.3044780097771</v>
      </c>
      <c r="D921" s="28">
        <v>4237.6678441995919</v>
      </c>
    </row>
    <row r="922" spans="1:4" x14ac:dyDescent="0.2">
      <c r="A922">
        <v>885</v>
      </c>
      <c r="B922" s="7">
        <v>0.84945369173198948</v>
      </c>
      <c r="C922" s="28">
        <v>8352.2211058308167</v>
      </c>
      <c r="D922" s="28">
        <v>9832.4619542250693</v>
      </c>
    </row>
    <row r="923" spans="1:4" x14ac:dyDescent="0.2">
      <c r="A923">
        <v>886</v>
      </c>
      <c r="B923" s="7">
        <v>0.81833062171642457</v>
      </c>
      <c r="C923" s="28">
        <v>6304.998478210131</v>
      </c>
      <c r="D923" s="28">
        <v>7704.7079883013312</v>
      </c>
    </row>
    <row r="924" spans="1:4" x14ac:dyDescent="0.2">
      <c r="A924">
        <v>887</v>
      </c>
      <c r="B924" s="7">
        <v>0.5930270025921569</v>
      </c>
      <c r="C924" s="28">
        <v>6496.7985076166124</v>
      </c>
      <c r="D924" s="28">
        <v>10955.316501978346</v>
      </c>
    </row>
    <row r="925" spans="1:4" x14ac:dyDescent="0.2">
      <c r="A925">
        <v>888</v>
      </c>
      <c r="B925" s="7">
        <v>0.88743034611235849</v>
      </c>
      <c r="C925" s="28">
        <v>7036.2986962410741</v>
      </c>
      <c r="D925" s="28">
        <v>7928.8461647334752</v>
      </c>
    </row>
    <row r="926" spans="1:4" x14ac:dyDescent="0.2">
      <c r="A926">
        <v>889</v>
      </c>
      <c r="B926" s="7">
        <v>0.97660469116941151</v>
      </c>
      <c r="C926" s="28">
        <v>4279.2068124782618</v>
      </c>
      <c r="D926" s="28">
        <v>4381.7184692756591</v>
      </c>
    </row>
    <row r="927" spans="1:4" x14ac:dyDescent="0.2">
      <c r="A927">
        <v>890</v>
      </c>
      <c r="B927" s="7">
        <v>1.0405847713434371</v>
      </c>
      <c r="C927" s="28">
        <v>6706.8649264057804</v>
      </c>
      <c r="D927" s="28">
        <v>6445.2845276093612</v>
      </c>
    </row>
    <row r="928" spans="1:4" x14ac:dyDescent="0.2">
      <c r="A928">
        <v>891</v>
      </c>
      <c r="B928" s="35">
        <v>0.89847644111546643</v>
      </c>
      <c r="C928" s="36">
        <v>7130.8605169217471</v>
      </c>
      <c r="D928" s="36">
        <v>7936.6137948689238</v>
      </c>
    </row>
    <row r="929" spans="1:4" x14ac:dyDescent="0.2">
      <c r="A929">
        <v>892</v>
      </c>
      <c r="B929" s="7">
        <v>0.81150042133579348</v>
      </c>
      <c r="C929" s="28">
        <v>7311.4515237968862</v>
      </c>
      <c r="D929" s="28">
        <v>9009.7938726410794</v>
      </c>
    </row>
    <row r="930" spans="1:4" x14ac:dyDescent="0.2">
      <c r="A930">
        <v>893</v>
      </c>
      <c r="B930" s="7">
        <v>0.51508979023053669</v>
      </c>
      <c r="C930" s="28">
        <v>8186.2475994820743</v>
      </c>
      <c r="D930" s="28">
        <v>15892.855488007612</v>
      </c>
    </row>
    <row r="931" spans="1:4" x14ac:dyDescent="0.2">
      <c r="A931">
        <v>894</v>
      </c>
      <c r="B931" s="7">
        <v>0.75093625820783227</v>
      </c>
      <c r="C931" s="28">
        <v>8044.6391957115684</v>
      </c>
      <c r="D931" s="28">
        <v>10712.812316335243</v>
      </c>
    </row>
    <row r="932" spans="1:4" x14ac:dyDescent="0.2">
      <c r="A932">
        <v>895</v>
      </c>
      <c r="B932" s="7">
        <v>0.82879791828379012</v>
      </c>
      <c r="C932" s="28">
        <v>7164.2631785273952</v>
      </c>
      <c r="D932" s="28">
        <v>8644.1616472234764</v>
      </c>
    </row>
    <row r="933" spans="1:4" x14ac:dyDescent="0.2">
      <c r="A933">
        <v>896</v>
      </c>
      <c r="B933" s="7">
        <v>0.89691799453840293</v>
      </c>
      <c r="C933" s="28">
        <v>5366.9228454180757</v>
      </c>
      <c r="D933" s="28">
        <v>5983.7386228159594</v>
      </c>
    </row>
    <row r="934" spans="1:4" x14ac:dyDescent="0.2">
      <c r="A934">
        <v>897</v>
      </c>
      <c r="B934" s="7">
        <v>0.95678397270661542</v>
      </c>
      <c r="C934" s="28">
        <v>6023.0061734755254</v>
      </c>
      <c r="D934" s="28">
        <v>6295.0533718047527</v>
      </c>
    </row>
    <row r="935" spans="1:4" x14ac:dyDescent="0.2">
      <c r="A935">
        <v>898</v>
      </c>
      <c r="B935" s="7">
        <v>0.72437499118180959</v>
      </c>
      <c r="C935" s="28">
        <v>8040.9474960219823</v>
      </c>
      <c r="D935" s="28">
        <v>11100.531622306931</v>
      </c>
    </row>
    <row r="936" spans="1:4" x14ac:dyDescent="0.2">
      <c r="A936">
        <v>899</v>
      </c>
      <c r="B936" s="7">
        <v>0.6865644557816557</v>
      </c>
      <c r="C936" s="28">
        <v>7253.0888631371254</v>
      </c>
      <c r="D936" s="28">
        <v>10564.32327956661</v>
      </c>
    </row>
    <row r="937" spans="1:4" x14ac:dyDescent="0.2">
      <c r="A937">
        <v>900</v>
      </c>
      <c r="B937" s="7">
        <v>0.60049761716254757</v>
      </c>
      <c r="C937" s="28">
        <v>7677.7552614447259</v>
      </c>
      <c r="D937" s="28">
        <v>12785.654833608522</v>
      </c>
    </row>
    <row r="938" spans="1:4" x14ac:dyDescent="0.2">
      <c r="A938">
        <v>901</v>
      </c>
      <c r="B938" s="35">
        <v>0.74971720019560628</v>
      </c>
      <c r="C938" s="36">
        <v>8924.1387902207116</v>
      </c>
      <c r="D938" s="36">
        <v>11903.340069952168</v>
      </c>
    </row>
    <row r="939" spans="1:4" x14ac:dyDescent="0.2">
      <c r="A939">
        <v>902</v>
      </c>
      <c r="B939" s="7">
        <v>1.0022106704594123</v>
      </c>
      <c r="C939" s="28">
        <v>4566.9227999857394</v>
      </c>
      <c r="D939" s="28">
        <v>4556.8491082740784</v>
      </c>
    </row>
    <row r="940" spans="1:4" x14ac:dyDescent="0.2">
      <c r="A940">
        <v>903</v>
      </c>
      <c r="B940" s="7">
        <v>0.70085325225603778</v>
      </c>
      <c r="C940" s="28">
        <v>7720.0892057828278</v>
      </c>
      <c r="D940" s="28">
        <v>11015.27200013977</v>
      </c>
    </row>
    <row r="941" spans="1:4" x14ac:dyDescent="0.2">
      <c r="A941">
        <v>904</v>
      </c>
      <c r="B941" s="7">
        <v>1.0087695084226187</v>
      </c>
      <c r="C941" s="28">
        <v>7988.2286651061968</v>
      </c>
      <c r="D941" s="28">
        <v>7918.7848149743741</v>
      </c>
    </row>
    <row r="942" spans="1:4" x14ac:dyDescent="0.2">
      <c r="A942">
        <v>905</v>
      </c>
      <c r="B942" s="7">
        <v>0.94113937871075759</v>
      </c>
      <c r="C942" s="28">
        <v>7724.6042389401264</v>
      </c>
      <c r="D942" s="28">
        <v>8207.7154709240422</v>
      </c>
    </row>
    <row r="943" spans="1:4" x14ac:dyDescent="0.2">
      <c r="A943">
        <v>906</v>
      </c>
      <c r="B943" s="7">
        <v>0.85244744288868279</v>
      </c>
      <c r="C943" s="28">
        <v>7460.1203789451192</v>
      </c>
      <c r="D943" s="28">
        <v>8751.413874461352</v>
      </c>
    </row>
    <row r="944" spans="1:4" x14ac:dyDescent="0.2">
      <c r="A944">
        <v>907</v>
      </c>
      <c r="B944" s="7">
        <v>0.86054895501196516</v>
      </c>
      <c r="C944" s="28">
        <v>7280.0736318047093</v>
      </c>
      <c r="D944" s="28">
        <v>8459.8018385874238</v>
      </c>
    </row>
    <row r="945" spans="1:4" x14ac:dyDescent="0.2">
      <c r="A945">
        <v>908</v>
      </c>
      <c r="B945" s="7">
        <v>0.98686994042170983</v>
      </c>
      <c r="C945" s="28">
        <v>6913.9371129249066</v>
      </c>
      <c r="D945" s="28">
        <v>7005.9253299076463</v>
      </c>
    </row>
    <row r="946" spans="1:4" x14ac:dyDescent="0.2">
      <c r="A946">
        <v>909</v>
      </c>
      <c r="B946" s="7">
        <v>0.69491469378746373</v>
      </c>
      <c r="C946" s="28">
        <v>6720.5376567616786</v>
      </c>
      <c r="D946" s="28">
        <v>9671.025403323998</v>
      </c>
    </row>
    <row r="947" spans="1:4" x14ac:dyDescent="0.2">
      <c r="A947">
        <v>910</v>
      </c>
      <c r="B947" s="7">
        <v>0.74148034334440904</v>
      </c>
      <c r="C947" s="28">
        <v>7876.4672666428087</v>
      </c>
      <c r="D947" s="28">
        <v>10622.62450696455</v>
      </c>
    </row>
    <row r="948" spans="1:4" x14ac:dyDescent="0.2">
      <c r="A948">
        <v>911</v>
      </c>
      <c r="B948" s="7">
        <v>0.97001939720062857</v>
      </c>
      <c r="C948" s="28">
        <v>8460.6710608450321</v>
      </c>
      <c r="D948" s="28">
        <v>8722.1668816743422</v>
      </c>
    </row>
    <row r="949" spans="1:4" x14ac:dyDescent="0.2">
      <c r="A949">
        <v>912</v>
      </c>
      <c r="B949" s="7">
        <v>0.86449180443698914</v>
      </c>
      <c r="C949" s="28">
        <v>6102.7134350198221</v>
      </c>
      <c r="D949" s="28">
        <v>7059.3074494145021</v>
      </c>
    </row>
    <row r="950" spans="1:4" x14ac:dyDescent="0.2">
      <c r="A950">
        <v>913</v>
      </c>
      <c r="B950" s="7">
        <v>0.8490418890900262</v>
      </c>
      <c r="C950" s="28">
        <v>7278.372503702456</v>
      </c>
      <c r="D950" s="28">
        <v>8572.4539592541951</v>
      </c>
    </row>
    <row r="951" spans="1:4" x14ac:dyDescent="0.2">
      <c r="A951">
        <v>914</v>
      </c>
      <c r="B951" s="7">
        <v>0.90758524366696491</v>
      </c>
      <c r="C951" s="29">
        <v>6583.415404542774</v>
      </c>
      <c r="D951" s="28">
        <v>7253.7708721920717</v>
      </c>
    </row>
    <row r="952" spans="1:4" x14ac:dyDescent="0.2">
      <c r="A952">
        <v>915</v>
      </c>
      <c r="B952" s="7">
        <v>0.95589629515111252</v>
      </c>
      <c r="C952" s="28">
        <v>5945.7143391212576</v>
      </c>
      <c r="D952" s="28">
        <v>6220.0412003703095</v>
      </c>
    </row>
    <row r="953" spans="1:4" x14ac:dyDescent="0.2">
      <c r="A953">
        <v>916</v>
      </c>
      <c r="B953" s="7">
        <v>0.82116149129185523</v>
      </c>
      <c r="C953" s="28">
        <v>7588.8721312394027</v>
      </c>
      <c r="D953" s="28">
        <v>9241.6317761084392</v>
      </c>
    </row>
    <row r="954" spans="1:4" x14ac:dyDescent="0.2">
      <c r="A954">
        <v>917</v>
      </c>
      <c r="B954" s="7">
        <v>0.70409081129360551</v>
      </c>
      <c r="C954" s="28">
        <v>6518.2212929480938</v>
      </c>
      <c r="D954" s="28">
        <v>9257.6428898033137</v>
      </c>
    </row>
    <row r="955" spans="1:4" x14ac:dyDescent="0.2">
      <c r="A955">
        <v>918</v>
      </c>
      <c r="B955" s="7">
        <v>0.7989526741442603</v>
      </c>
      <c r="C955" s="28">
        <v>9464.5624012834905</v>
      </c>
      <c r="D955" s="28">
        <v>11846.211556173543</v>
      </c>
    </row>
    <row r="956" spans="1:4" x14ac:dyDescent="0.2">
      <c r="A956">
        <v>919</v>
      </c>
      <c r="B956" s="7">
        <v>0.85969557326095369</v>
      </c>
      <c r="C956" s="28">
        <v>6910.6052815999628</v>
      </c>
      <c r="D956" s="28">
        <v>8038.4330180822089</v>
      </c>
    </row>
    <row r="957" spans="1:4" x14ac:dyDescent="0.2">
      <c r="A957">
        <v>920</v>
      </c>
      <c r="B957" s="7">
        <v>0.79102689912780022</v>
      </c>
      <c r="C957" s="28">
        <v>7442.7925874055582</v>
      </c>
      <c r="D957" s="28">
        <v>9409.0259074781261</v>
      </c>
    </row>
    <row r="958" spans="1:4" x14ac:dyDescent="0.2">
      <c r="A958">
        <v>921</v>
      </c>
      <c r="B958" s="7">
        <v>0.70917190173489431</v>
      </c>
      <c r="C958" s="28">
        <v>7680.6688208012692</v>
      </c>
      <c r="D958" s="28">
        <v>10830.475378411833</v>
      </c>
    </row>
    <row r="959" spans="1:4" x14ac:dyDescent="0.2">
      <c r="A959">
        <v>922</v>
      </c>
      <c r="B959" s="7">
        <v>1.0842127076316785</v>
      </c>
      <c r="C959" s="28">
        <v>6096.8740786605358</v>
      </c>
      <c r="D959" s="28">
        <v>5623.3191473824018</v>
      </c>
    </row>
    <row r="960" spans="1:4" x14ac:dyDescent="0.2">
      <c r="A960">
        <v>923</v>
      </c>
      <c r="B960" s="7">
        <v>0.7126078644194358</v>
      </c>
      <c r="C960" s="28">
        <v>6343.4363728671142</v>
      </c>
      <c r="D960" s="28">
        <v>8901.7209738979436</v>
      </c>
    </row>
    <row r="961" spans="1:4" x14ac:dyDescent="0.2">
      <c r="A961">
        <v>924</v>
      </c>
      <c r="B961" s="7">
        <v>0.82146952686617603</v>
      </c>
      <c r="C961" s="28">
        <v>6989.1531669545075</v>
      </c>
      <c r="D961" s="28">
        <v>8508.1100861007308</v>
      </c>
    </row>
    <row r="962" spans="1:4" x14ac:dyDescent="0.2">
      <c r="A962">
        <v>925</v>
      </c>
      <c r="B962" s="7">
        <v>0.75504902031620524</v>
      </c>
      <c r="C962" s="28">
        <v>7134.4931856747262</v>
      </c>
      <c r="D962" s="28">
        <v>9449.0463449470972</v>
      </c>
    </row>
    <row r="963" spans="1:4" x14ac:dyDescent="0.2">
      <c r="A963">
        <v>926</v>
      </c>
      <c r="B963" s="7">
        <v>0.87427177558346347</v>
      </c>
      <c r="C963" s="28">
        <v>6775.4369297098001</v>
      </c>
      <c r="D963" s="28">
        <v>7749.8063175928</v>
      </c>
    </row>
    <row r="964" spans="1:4" x14ac:dyDescent="0.2">
      <c r="A964">
        <v>927</v>
      </c>
      <c r="B964" s="7">
        <v>1.0642720306432407</v>
      </c>
      <c r="C964" s="28">
        <v>8198.4213984099497</v>
      </c>
      <c r="D964" s="28">
        <v>7703.3137791424106</v>
      </c>
    </row>
    <row r="965" spans="1:4" x14ac:dyDescent="0.2">
      <c r="A965">
        <v>928</v>
      </c>
      <c r="B965" s="7">
        <v>1.1358346986380647</v>
      </c>
      <c r="C965" s="28">
        <v>7785.6400495377238</v>
      </c>
      <c r="D965" s="28">
        <v>6854.5537998382888</v>
      </c>
    </row>
    <row r="966" spans="1:4" x14ac:dyDescent="0.2">
      <c r="A966">
        <v>929</v>
      </c>
      <c r="B966" s="7">
        <v>0.58795918554604576</v>
      </c>
      <c r="C966" s="28">
        <v>6857.6003321905464</v>
      </c>
      <c r="D966" s="28">
        <v>11663.395182476483</v>
      </c>
    </row>
    <row r="967" spans="1:4" x14ac:dyDescent="0.2">
      <c r="A967">
        <v>930</v>
      </c>
      <c r="B967" s="7">
        <v>0.7093603034285163</v>
      </c>
      <c r="C967" s="28">
        <v>7106.5694267158979</v>
      </c>
      <c r="D967" s="28">
        <v>10018.278993577826</v>
      </c>
    </row>
    <row r="968" spans="1:4" x14ac:dyDescent="0.2">
      <c r="A968">
        <v>931</v>
      </c>
      <c r="B968" s="7">
        <v>1.1345878804507219</v>
      </c>
      <c r="C968" s="28">
        <v>6715.3749923551231</v>
      </c>
      <c r="D968" s="28">
        <v>5918.7790633612267</v>
      </c>
    </row>
    <row r="969" spans="1:4" x14ac:dyDescent="0.2">
      <c r="A969">
        <v>932</v>
      </c>
      <c r="B969" s="7">
        <v>1.0839963003641317</v>
      </c>
      <c r="C969" s="28">
        <v>7055.3896269106663</v>
      </c>
      <c r="D969" s="28">
        <v>6508.6842312475119</v>
      </c>
    </row>
    <row r="970" spans="1:4" x14ac:dyDescent="0.2">
      <c r="A970">
        <v>933</v>
      </c>
      <c r="B970" s="7">
        <v>0.68964260468464644</v>
      </c>
      <c r="C970" s="28">
        <v>7507.1680161376917</v>
      </c>
      <c r="D970" s="28">
        <v>10885.591993798733</v>
      </c>
    </row>
    <row r="971" spans="1:4" x14ac:dyDescent="0.2">
      <c r="A971">
        <v>934</v>
      </c>
      <c r="B971" s="7">
        <v>0.7375696862096861</v>
      </c>
      <c r="C971" s="28">
        <v>5022.934313462647</v>
      </c>
      <c r="D971" s="28">
        <v>6810.1149049049454</v>
      </c>
    </row>
    <row r="972" spans="1:4" x14ac:dyDescent="0.2">
      <c r="A972">
        <v>935</v>
      </c>
      <c r="B972" s="7">
        <v>0.88144976575985368</v>
      </c>
      <c r="C972" s="28">
        <v>5096.4914560700963</v>
      </c>
      <c r="D972" s="28">
        <v>5781.9420391775429</v>
      </c>
    </row>
    <row r="973" spans="1:4" x14ac:dyDescent="0.2">
      <c r="A973">
        <v>936</v>
      </c>
      <c r="B973" s="7">
        <v>0.81841849330598571</v>
      </c>
      <c r="C973" s="28">
        <v>6328.2516577164151</v>
      </c>
      <c r="D973" s="28">
        <v>7732.2930865767275</v>
      </c>
    </row>
    <row r="974" spans="1:4" x14ac:dyDescent="0.2">
      <c r="A974">
        <v>937</v>
      </c>
      <c r="B974" s="7">
        <v>0.65940024652238449</v>
      </c>
      <c r="C974" s="28">
        <v>7134.9216829858524</v>
      </c>
      <c r="D974" s="28">
        <v>10820.320011426695</v>
      </c>
    </row>
    <row r="975" spans="1:4" x14ac:dyDescent="0.2">
      <c r="A975">
        <v>938</v>
      </c>
      <c r="B975" s="7">
        <v>0.92455103747439171</v>
      </c>
      <c r="C975" s="28">
        <v>5236.7300840908101</v>
      </c>
      <c r="D975" s="28">
        <v>5664.0789657173009</v>
      </c>
    </row>
    <row r="976" spans="1:4" x14ac:dyDescent="0.2">
      <c r="A976">
        <v>939</v>
      </c>
      <c r="B976" s="7">
        <v>0.68838929339650523</v>
      </c>
      <c r="C976" s="28">
        <v>7268.4711280487973</v>
      </c>
      <c r="D976" s="28">
        <v>10558.663822597007</v>
      </c>
    </row>
    <row r="977" spans="1:4" x14ac:dyDescent="0.2">
      <c r="A977">
        <v>940</v>
      </c>
      <c r="B977" s="7">
        <v>1.0049134524804799</v>
      </c>
      <c r="C977" s="28">
        <v>5868.3125535633681</v>
      </c>
      <c r="D977" s="28">
        <v>5839.619858882681</v>
      </c>
    </row>
    <row r="978" spans="1:4" x14ac:dyDescent="0.2">
      <c r="A978">
        <v>941</v>
      </c>
      <c r="B978" s="7">
        <v>1.0429041798744239</v>
      </c>
      <c r="C978" s="28">
        <v>7314.3785030064937</v>
      </c>
      <c r="D978" s="28">
        <v>7013.4712700904302</v>
      </c>
    </row>
    <row r="979" spans="1:4" x14ac:dyDescent="0.2">
      <c r="A979">
        <v>942</v>
      </c>
      <c r="B979" s="7">
        <v>0.82894029565849081</v>
      </c>
      <c r="C979" s="28">
        <v>6090.5296608701392</v>
      </c>
      <c r="D979" s="28">
        <v>7347.3683120108963</v>
      </c>
    </row>
    <row r="980" spans="1:4" x14ac:dyDescent="0.2">
      <c r="A980">
        <v>943</v>
      </c>
      <c r="B980" s="7">
        <v>0.92112591338664096</v>
      </c>
      <c r="C980" s="28">
        <v>6871.1649581336123</v>
      </c>
      <c r="D980" s="28">
        <v>7459.5284512959452</v>
      </c>
    </row>
    <row r="981" spans="1:4" x14ac:dyDescent="0.2">
      <c r="A981">
        <v>944</v>
      </c>
      <c r="B981" s="7">
        <v>0.78795569950213995</v>
      </c>
      <c r="C981" s="28">
        <v>5548.7981725311056</v>
      </c>
      <c r="D981" s="28">
        <v>7042.0179409033335</v>
      </c>
    </row>
    <row r="982" spans="1:4" x14ac:dyDescent="0.2">
      <c r="A982">
        <v>945</v>
      </c>
      <c r="B982" s="7">
        <v>0.71182626802044169</v>
      </c>
      <c r="C982" s="28">
        <v>7002.4637791692512</v>
      </c>
      <c r="D982" s="28">
        <v>9837.3213995639726</v>
      </c>
    </row>
    <row r="983" spans="1:4" x14ac:dyDescent="0.2">
      <c r="A983">
        <v>946</v>
      </c>
      <c r="B983" s="7">
        <v>0.69330953429338038</v>
      </c>
      <c r="C983" s="28">
        <v>7875.6800526584439</v>
      </c>
      <c r="D983" s="28">
        <v>11359.543844561897</v>
      </c>
    </row>
    <row r="984" spans="1:4" x14ac:dyDescent="0.2">
      <c r="A984">
        <v>947</v>
      </c>
      <c r="B984" s="7">
        <v>1.2212822136461634</v>
      </c>
      <c r="C984" s="28">
        <v>7550.4547305268597</v>
      </c>
      <c r="D984" s="28">
        <v>6182.3996502698756</v>
      </c>
    </row>
    <row r="985" spans="1:4" x14ac:dyDescent="0.2">
      <c r="A985">
        <v>948</v>
      </c>
      <c r="B985" s="7">
        <v>0.97234765728271544</v>
      </c>
      <c r="C985" s="28">
        <v>7792.2605660041281</v>
      </c>
      <c r="D985" s="28">
        <v>8013.8626422776324</v>
      </c>
    </row>
    <row r="986" spans="1:4" x14ac:dyDescent="0.2">
      <c r="A986">
        <v>949</v>
      </c>
      <c r="B986" s="7">
        <v>0.84019334646270494</v>
      </c>
      <c r="C986" s="28">
        <v>5719.4278567364818</v>
      </c>
      <c r="D986" s="28">
        <v>6807.2758262319321</v>
      </c>
    </row>
    <row r="987" spans="1:4" x14ac:dyDescent="0.2">
      <c r="A987">
        <v>950</v>
      </c>
      <c r="B987" s="7">
        <v>0.89696173071510277</v>
      </c>
      <c r="C987" s="28">
        <v>8207.719992790604</v>
      </c>
      <c r="D987" s="28">
        <v>9150.5799096322644</v>
      </c>
    </row>
    <row r="988" spans="1:4" x14ac:dyDescent="0.2">
      <c r="A988">
        <v>951</v>
      </c>
      <c r="B988" s="35">
        <v>0.68240625164445934</v>
      </c>
      <c r="C988" s="36">
        <v>7150.287827043072</v>
      </c>
      <c r="D988" s="36">
        <v>10478.051468333331</v>
      </c>
    </row>
    <row r="989" spans="1:4" x14ac:dyDescent="0.2">
      <c r="A989">
        <v>952</v>
      </c>
      <c r="B989" s="7">
        <v>0.58228101993259251</v>
      </c>
      <c r="C989" s="28">
        <v>6651.6932383515887</v>
      </c>
      <c r="D989" s="28">
        <v>11423.510316584969</v>
      </c>
    </row>
    <row r="990" spans="1:4" x14ac:dyDescent="0.2">
      <c r="A990">
        <v>953</v>
      </c>
      <c r="B990" s="7">
        <v>0.72463124182095751</v>
      </c>
      <c r="C990" s="28">
        <v>6237.5790472938297</v>
      </c>
      <c r="D990" s="28">
        <v>8607.935577852184</v>
      </c>
    </row>
    <row r="991" spans="1:4" x14ac:dyDescent="0.2">
      <c r="A991">
        <v>954</v>
      </c>
      <c r="B991" s="7">
        <v>0.83980384516879791</v>
      </c>
      <c r="C991" s="28">
        <v>6602.4241746810585</v>
      </c>
      <c r="D991" s="28">
        <v>7861.8646635917603</v>
      </c>
    </row>
    <row r="992" spans="1:4" x14ac:dyDescent="0.2">
      <c r="A992">
        <v>955</v>
      </c>
      <c r="B992" s="7">
        <v>0.89805913044361674</v>
      </c>
      <c r="C992" s="28">
        <v>8669.6088779697511</v>
      </c>
      <c r="D992" s="28">
        <v>9653.7172042192815</v>
      </c>
    </row>
    <row r="993" spans="1:4" x14ac:dyDescent="0.2">
      <c r="A993">
        <v>956</v>
      </c>
      <c r="B993" s="7">
        <v>0.74203137686272491</v>
      </c>
      <c r="C993" s="28">
        <v>6467.6768654551361</v>
      </c>
      <c r="D993" s="28">
        <v>8716.1770608679399</v>
      </c>
    </row>
    <row r="994" spans="1:4" x14ac:dyDescent="0.2">
      <c r="A994">
        <v>957</v>
      </c>
      <c r="B994" s="7">
        <v>1.0531877689194049</v>
      </c>
      <c r="C994" s="28">
        <v>8289.076687400624</v>
      </c>
      <c r="D994" s="28">
        <v>7870.4642534022296</v>
      </c>
    </row>
    <row r="995" spans="1:4" x14ac:dyDescent="0.2">
      <c r="A995">
        <v>958</v>
      </c>
      <c r="B995" s="7">
        <v>0.74950067641059359</v>
      </c>
      <c r="C995" s="28">
        <v>8814.1675523540835</v>
      </c>
      <c r="D995" s="28">
        <v>11760.052832194486</v>
      </c>
    </row>
    <row r="996" spans="1:4" x14ac:dyDescent="0.2">
      <c r="A996">
        <v>959</v>
      </c>
      <c r="B996" s="7">
        <v>0.816014044967174</v>
      </c>
      <c r="C996" s="28">
        <v>9142.7583842527929</v>
      </c>
      <c r="D996" s="28">
        <v>11204.167919218327</v>
      </c>
    </row>
    <row r="997" spans="1:4" x14ac:dyDescent="0.2">
      <c r="A997">
        <v>960</v>
      </c>
      <c r="B997" s="7">
        <v>1.1207527988385069</v>
      </c>
      <c r="C997" s="28">
        <v>6824.7677245202922</v>
      </c>
      <c r="D997" s="28">
        <v>6089.4496374161599</v>
      </c>
    </row>
    <row r="998" spans="1:4" x14ac:dyDescent="0.2">
      <c r="A998">
        <v>961</v>
      </c>
      <c r="B998" s="7">
        <v>0.78820560565245312</v>
      </c>
      <c r="C998" s="28">
        <v>7632.401073115554</v>
      </c>
      <c r="D998" s="28">
        <v>9683.2615987267436</v>
      </c>
    </row>
    <row r="999" spans="1:4" x14ac:dyDescent="0.2">
      <c r="A999">
        <v>962</v>
      </c>
      <c r="B999" s="7">
        <v>1.0296784505250365</v>
      </c>
      <c r="C999" s="28">
        <v>7211.8068240196935</v>
      </c>
      <c r="D999" s="28">
        <v>7003.9407159996108</v>
      </c>
    </row>
    <row r="1000" spans="1:4" x14ac:dyDescent="0.2">
      <c r="A1000">
        <v>963</v>
      </c>
      <c r="B1000" s="7">
        <v>0.93496112380823959</v>
      </c>
      <c r="C1000" s="28">
        <v>7804.7647775066653</v>
      </c>
      <c r="D1000" s="28">
        <v>8347.6890950467168</v>
      </c>
    </row>
    <row r="1001" spans="1:4" x14ac:dyDescent="0.2">
      <c r="A1001">
        <v>964</v>
      </c>
      <c r="B1001" s="7">
        <v>0.6698283493978785</v>
      </c>
      <c r="C1001" s="28">
        <v>7284.5388494545987</v>
      </c>
      <c r="D1001" s="28">
        <v>10875.232223304389</v>
      </c>
    </row>
    <row r="1002" spans="1:4" x14ac:dyDescent="0.2">
      <c r="A1002">
        <v>965</v>
      </c>
      <c r="B1002" s="7">
        <v>1.0208537539634204</v>
      </c>
      <c r="C1002" s="28">
        <v>5481.9109941125716</v>
      </c>
      <c r="D1002" s="28">
        <v>5369.9278401331139</v>
      </c>
    </row>
    <row r="1003" spans="1:4" x14ac:dyDescent="0.2">
      <c r="A1003">
        <v>966</v>
      </c>
      <c r="B1003" s="7">
        <v>0.78115726599286983</v>
      </c>
      <c r="C1003" s="29">
        <v>5630.747363524506</v>
      </c>
      <c r="D1003" s="28">
        <v>7208.2122367097099</v>
      </c>
    </row>
    <row r="1004" spans="1:4" x14ac:dyDescent="0.2">
      <c r="A1004">
        <v>967</v>
      </c>
      <c r="B1004" s="7">
        <v>1.0466163886664912</v>
      </c>
      <c r="C1004" s="28">
        <v>5607.9134223991769</v>
      </c>
      <c r="D1004" s="28">
        <v>5358.1364510680924</v>
      </c>
    </row>
    <row r="1005" spans="1:4" x14ac:dyDescent="0.2">
      <c r="A1005">
        <v>968</v>
      </c>
      <c r="B1005" s="7">
        <v>0.74324320532563082</v>
      </c>
      <c r="C1005" s="28">
        <v>7145.9030670336124</v>
      </c>
      <c r="D1005" s="28">
        <v>9614.48825341476</v>
      </c>
    </row>
    <row r="1006" spans="1:4" x14ac:dyDescent="0.2">
      <c r="A1006">
        <v>969</v>
      </c>
      <c r="B1006" s="7">
        <v>0.62793391463672243</v>
      </c>
      <c r="C1006" s="28">
        <v>5709.1161782998679</v>
      </c>
      <c r="D1006" s="28">
        <v>9091.9060831469087</v>
      </c>
    </row>
    <row r="1007" spans="1:4" x14ac:dyDescent="0.2">
      <c r="A1007">
        <v>970</v>
      </c>
      <c r="B1007" s="7">
        <v>0.74451100289754635</v>
      </c>
      <c r="C1007" s="28">
        <v>6370.4219257695113</v>
      </c>
      <c r="D1007" s="28">
        <v>8556.5181722991383</v>
      </c>
    </row>
    <row r="1008" spans="1:4" x14ac:dyDescent="0.2">
      <c r="A1008">
        <v>971</v>
      </c>
      <c r="B1008" s="7">
        <v>0.85283761060778751</v>
      </c>
      <c r="C1008" s="28">
        <v>6202.2175908277222</v>
      </c>
      <c r="D1008" s="28">
        <v>7272.4484868902755</v>
      </c>
    </row>
    <row r="1009" spans="1:4" x14ac:dyDescent="0.2">
      <c r="A1009">
        <v>972</v>
      </c>
      <c r="B1009" s="7">
        <v>0.86550074152636647</v>
      </c>
      <c r="C1009" s="28">
        <v>9022.1865183793452</v>
      </c>
      <c r="D1009" s="28">
        <v>10424.238923779703</v>
      </c>
    </row>
    <row r="1010" spans="1:4" x14ac:dyDescent="0.2">
      <c r="A1010">
        <v>973</v>
      </c>
      <c r="B1010" s="7">
        <v>0.76231420066164723</v>
      </c>
      <c r="C1010" s="28">
        <v>8523.4687550585841</v>
      </c>
      <c r="D1010" s="28">
        <v>11181.044177926473</v>
      </c>
    </row>
    <row r="1011" spans="1:4" x14ac:dyDescent="0.2">
      <c r="A1011">
        <v>974</v>
      </c>
      <c r="B1011" s="7">
        <v>0.69673658609554145</v>
      </c>
      <c r="C1011" s="28">
        <v>6166.6293807939746</v>
      </c>
      <c r="D1011" s="28">
        <v>8850.732836280773</v>
      </c>
    </row>
    <row r="1012" spans="1:4" x14ac:dyDescent="0.2">
      <c r="A1012">
        <v>975</v>
      </c>
      <c r="B1012" s="7">
        <v>0.5799431686195673</v>
      </c>
      <c r="C1012" s="28">
        <v>7800.1975995469838</v>
      </c>
      <c r="D1012" s="28">
        <v>13449.934444634831</v>
      </c>
    </row>
    <row r="1013" spans="1:4" x14ac:dyDescent="0.2">
      <c r="A1013">
        <v>976</v>
      </c>
      <c r="B1013" s="7">
        <v>0.71920972538791794</v>
      </c>
      <c r="C1013" s="28">
        <v>7858.7769566487405</v>
      </c>
      <c r="D1013" s="28">
        <v>10926.961467894467</v>
      </c>
    </row>
    <row r="1014" spans="1:4" x14ac:dyDescent="0.2">
      <c r="A1014">
        <v>977</v>
      </c>
      <c r="B1014" s="7">
        <v>1.0117478008825795</v>
      </c>
      <c r="C1014" s="28">
        <v>5440.3203735058432</v>
      </c>
      <c r="D1014" s="28">
        <v>5377.150678024781</v>
      </c>
    </row>
    <row r="1015" spans="1:4" x14ac:dyDescent="0.2">
      <c r="A1015">
        <v>978</v>
      </c>
      <c r="B1015" s="7">
        <v>1.0043380514704641</v>
      </c>
      <c r="C1015" s="28">
        <v>6706.2841483444809</v>
      </c>
      <c r="D1015" s="28">
        <v>6677.3176009071103</v>
      </c>
    </row>
    <row r="1016" spans="1:4" x14ac:dyDescent="0.2">
      <c r="A1016">
        <v>979</v>
      </c>
      <c r="B1016" s="7">
        <v>0.90373428449973581</v>
      </c>
      <c r="C1016" s="28">
        <v>6526.7530761687576</v>
      </c>
      <c r="D1016" s="28">
        <v>7221.9823770231942</v>
      </c>
    </row>
    <row r="1017" spans="1:4" x14ac:dyDescent="0.2">
      <c r="A1017">
        <v>980</v>
      </c>
      <c r="B1017" s="7">
        <v>0.99725009423808508</v>
      </c>
      <c r="C1017" s="29">
        <v>5271.8788106320808</v>
      </c>
      <c r="D1017" s="28">
        <v>5286.4159563302719</v>
      </c>
    </row>
    <row r="1018" spans="1:4" x14ac:dyDescent="0.2">
      <c r="A1018">
        <v>981</v>
      </c>
      <c r="B1018" s="7">
        <v>0.98253668971547281</v>
      </c>
      <c r="C1018" s="28">
        <v>5417.6027733877181</v>
      </c>
      <c r="D1018" s="28">
        <v>5513.8936083461376</v>
      </c>
    </row>
    <row r="1019" spans="1:4" x14ac:dyDescent="0.2">
      <c r="A1019">
        <v>982</v>
      </c>
      <c r="B1019" s="7">
        <v>0.54200623892467625</v>
      </c>
      <c r="C1019" s="28">
        <v>8638.4798743653773</v>
      </c>
      <c r="D1019" s="28">
        <v>15937.971288861649</v>
      </c>
    </row>
    <row r="1020" spans="1:4" x14ac:dyDescent="0.2">
      <c r="A1020">
        <v>983</v>
      </c>
      <c r="B1020" s="7">
        <v>0.76437003811270632</v>
      </c>
      <c r="C1020" s="28">
        <v>6880.8453257601359</v>
      </c>
      <c r="D1020" s="28">
        <v>9001.982001740309</v>
      </c>
    </row>
    <row r="1021" spans="1:4" x14ac:dyDescent="0.2">
      <c r="A1021">
        <v>984</v>
      </c>
      <c r="B1021" s="7">
        <v>0.81301236015762779</v>
      </c>
      <c r="C1021" s="28">
        <v>6834.9493925197876</v>
      </c>
      <c r="D1021" s="28">
        <v>8406.9440115210782</v>
      </c>
    </row>
    <row r="1022" spans="1:4" x14ac:dyDescent="0.2">
      <c r="A1022">
        <v>985</v>
      </c>
      <c r="B1022" s="7">
        <v>0.67612572325095321</v>
      </c>
      <c r="C1022" s="28">
        <v>6943.8415562636765</v>
      </c>
      <c r="D1022" s="28">
        <v>10270.044930218364</v>
      </c>
    </row>
    <row r="1023" spans="1:4" x14ac:dyDescent="0.2">
      <c r="A1023">
        <v>986</v>
      </c>
      <c r="B1023" s="7">
        <v>0.94528897640699938</v>
      </c>
      <c r="C1023" s="28">
        <v>6198.9409226382304</v>
      </c>
      <c r="D1023" s="28">
        <v>6557.7205249976832</v>
      </c>
    </row>
    <row r="1024" spans="1:4" x14ac:dyDescent="0.2">
      <c r="A1024">
        <v>987</v>
      </c>
      <c r="B1024" s="7">
        <v>0.94188168193250466</v>
      </c>
      <c r="C1024" s="28">
        <v>6541.1809121255101</v>
      </c>
      <c r="D1024" s="28">
        <v>6944.801069604252</v>
      </c>
    </row>
    <row r="1025" spans="1:4" x14ac:dyDescent="0.2">
      <c r="A1025">
        <v>988</v>
      </c>
      <c r="B1025" s="7">
        <v>0.64344316780261046</v>
      </c>
      <c r="C1025" s="28">
        <v>7462.2259897314743</v>
      </c>
      <c r="D1025" s="28">
        <v>11597.335029937978</v>
      </c>
    </row>
    <row r="1026" spans="1:4" x14ac:dyDescent="0.2">
      <c r="A1026">
        <v>989</v>
      </c>
      <c r="B1026" s="7">
        <v>0.66869594428420687</v>
      </c>
      <c r="C1026" s="28">
        <v>8775.0941477976121</v>
      </c>
      <c r="D1026" s="28">
        <v>13122.696829260343</v>
      </c>
    </row>
    <row r="1027" spans="1:4" x14ac:dyDescent="0.2">
      <c r="A1027">
        <v>990</v>
      </c>
      <c r="B1027" s="7">
        <v>1.2438033828045647</v>
      </c>
      <c r="C1027" s="28">
        <v>6405.6272087173274</v>
      </c>
      <c r="D1027" s="28">
        <v>5150.031988394926</v>
      </c>
    </row>
    <row r="1028" spans="1:4" x14ac:dyDescent="0.2">
      <c r="A1028">
        <v>991</v>
      </c>
      <c r="B1028" s="7">
        <v>0.93209168099449791</v>
      </c>
      <c r="C1028" s="28">
        <v>8072.9307995719773</v>
      </c>
      <c r="D1028" s="28">
        <v>8661.0909250456352</v>
      </c>
    </row>
    <row r="1029" spans="1:4" x14ac:dyDescent="0.2">
      <c r="A1029">
        <v>992</v>
      </c>
      <c r="B1029" s="35">
        <v>0.83112974250733807</v>
      </c>
      <c r="C1029" s="36">
        <v>6344.6989488680474</v>
      </c>
      <c r="D1029" s="36">
        <v>7633.8249305426943</v>
      </c>
    </row>
    <row r="1030" spans="1:4" x14ac:dyDescent="0.2">
      <c r="A1030">
        <v>993</v>
      </c>
      <c r="B1030" s="7">
        <v>0.84486081590286233</v>
      </c>
      <c r="C1030" s="29">
        <v>6486.7066786181495</v>
      </c>
      <c r="D1030" s="28">
        <v>7677.840605835313</v>
      </c>
    </row>
    <row r="1031" spans="1:4" x14ac:dyDescent="0.2">
      <c r="A1031">
        <v>994</v>
      </c>
      <c r="B1031" s="7">
        <v>0.76629897903301902</v>
      </c>
      <c r="C1031" s="28">
        <v>5011.2130205067424</v>
      </c>
      <c r="D1031" s="28">
        <v>6539.5011054697161</v>
      </c>
    </row>
    <row r="1032" spans="1:4" x14ac:dyDescent="0.2">
      <c r="A1032">
        <v>995</v>
      </c>
      <c r="B1032" s="7">
        <v>0.72476222429426862</v>
      </c>
      <c r="C1032" s="28">
        <v>7663.2640707861538</v>
      </c>
      <c r="D1032" s="28">
        <v>10573.487157458014</v>
      </c>
    </row>
    <row r="1033" spans="1:4" x14ac:dyDescent="0.2">
      <c r="A1033">
        <v>996</v>
      </c>
      <c r="B1033" s="7">
        <v>0.84584333385885024</v>
      </c>
      <c r="C1033" s="28">
        <v>8652.5586532831476</v>
      </c>
      <c r="D1033" s="28">
        <v>10229.505047712582</v>
      </c>
    </row>
    <row r="1034" spans="1:4" x14ac:dyDescent="0.2">
      <c r="A1034">
        <v>997</v>
      </c>
      <c r="B1034" s="7">
        <v>0.6274382358433428</v>
      </c>
      <c r="C1034" s="28">
        <v>7112.7047075872924</v>
      </c>
      <c r="D1034" s="28">
        <v>11336.103382394398</v>
      </c>
    </row>
    <row r="1035" spans="1:4" x14ac:dyDescent="0.2">
      <c r="A1035">
        <v>998</v>
      </c>
      <c r="B1035" s="7">
        <v>0.70236296155383826</v>
      </c>
      <c r="C1035" s="28">
        <v>7288.6550010227056</v>
      </c>
      <c r="D1035" s="28">
        <v>10377.333942692547</v>
      </c>
    </row>
    <row r="1036" spans="1:4" x14ac:dyDescent="0.2">
      <c r="A1036">
        <v>999</v>
      </c>
      <c r="B1036" s="7">
        <v>0.75754835864687209</v>
      </c>
      <c r="C1036" s="28">
        <v>4637.8317527439649</v>
      </c>
      <c r="D1036" s="28">
        <v>6122.1593312247805</v>
      </c>
    </row>
    <row r="1037" spans="1:4" x14ac:dyDescent="0.2">
      <c r="A1037">
        <v>1000</v>
      </c>
      <c r="B1037" s="7">
        <v>1.0338382656223297</v>
      </c>
      <c r="C1037" s="28">
        <v>5418.7892446581554</v>
      </c>
      <c r="D1037" s="28">
        <v>5241.4283982768411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F90"/>
  <sheetViews>
    <sheetView workbookViewId="0">
      <selection activeCell="K58" sqref="K58"/>
    </sheetView>
  </sheetViews>
  <sheetFormatPr defaultRowHeight="12.75" x14ac:dyDescent="0.2"/>
  <cols>
    <col min="2" max="2" width="8.7109375" bestFit="1" customWidth="1"/>
    <col min="3" max="3" width="10.42578125" bestFit="1" customWidth="1"/>
    <col min="4" max="4" width="4.28515625" customWidth="1"/>
    <col min="8" max="8" width="4.85546875" customWidth="1"/>
    <col min="13" max="13" width="4.7109375" customWidth="1"/>
    <col min="19" max="19" width="4.42578125" customWidth="1"/>
    <col min="20" max="20" width="4.7109375" customWidth="1"/>
    <col min="24" max="24" width="4.5703125" customWidth="1"/>
  </cols>
  <sheetData>
    <row r="1" spans="1:32" s="2" customFormat="1" ht="15.75" x14ac:dyDescent="0.25">
      <c r="A1" s="2" t="s">
        <v>98</v>
      </c>
      <c r="I1"/>
      <c r="J1"/>
      <c r="K1"/>
      <c r="L1"/>
      <c r="M1"/>
    </row>
    <row r="4" spans="1:32" x14ac:dyDescent="0.2">
      <c r="A4" t="s">
        <v>33</v>
      </c>
      <c r="C4" t="s">
        <v>37</v>
      </c>
      <c r="E4" t="s">
        <v>36</v>
      </c>
      <c r="F4" t="s">
        <v>34</v>
      </c>
      <c r="G4" t="s">
        <v>35</v>
      </c>
      <c r="I4" t="s">
        <v>44</v>
      </c>
      <c r="J4" t="s">
        <v>47</v>
      </c>
      <c r="K4" t="s">
        <v>46</v>
      </c>
      <c r="L4" t="s">
        <v>45</v>
      </c>
      <c r="N4" t="s">
        <v>48</v>
      </c>
      <c r="Q4" t="s">
        <v>49</v>
      </c>
      <c r="R4" t="s">
        <v>50</v>
      </c>
      <c r="U4" t="s">
        <v>36</v>
      </c>
      <c r="V4" t="s">
        <v>34</v>
      </c>
      <c r="W4" t="s">
        <v>35</v>
      </c>
      <c r="Y4" t="s">
        <v>44</v>
      </c>
      <c r="Z4" t="s">
        <v>47</v>
      </c>
      <c r="AA4" t="s">
        <v>46</v>
      </c>
      <c r="AB4" t="s">
        <v>45</v>
      </c>
      <c r="AD4" t="s">
        <v>48</v>
      </c>
      <c r="AE4" t="s">
        <v>49</v>
      </c>
      <c r="AF4" t="s">
        <v>50</v>
      </c>
    </row>
    <row r="5" spans="1:32" x14ac:dyDescent="0.2">
      <c r="A5">
        <v>0</v>
      </c>
      <c r="C5">
        <f>IF(ini_age+A5&lt;35,"error",IF(ini_age+A5&gt;=85,_nD85,IF(ini_age+A5&gt;=75,_nD75,IF(ini_age+A5&gt;=65,_nD65,IF(ini_age+A5&gt;=55,_nD55, IF(ini_age+A5&gt;=45, _nD45, _nD35))))))</f>
        <v>1.38E-2</v>
      </c>
      <c r="E5" s="6">
        <v>1000</v>
      </c>
      <c r="F5" s="6">
        <v>0</v>
      </c>
      <c r="G5" s="6">
        <v>0</v>
      </c>
      <c r="I5" s="6"/>
      <c r="J5" s="6"/>
      <c r="U5" s="6">
        <v>1000</v>
      </c>
      <c r="V5" s="6">
        <v>0</v>
      </c>
      <c r="W5" s="6">
        <v>0</v>
      </c>
      <c r="Y5" s="6"/>
      <c r="Z5" s="6"/>
    </row>
    <row r="6" spans="1:32" x14ac:dyDescent="0.2">
      <c r="A6">
        <v>1</v>
      </c>
      <c r="C6">
        <f t="shared" ref="C6:C50" si="0">IF(ini_age+A6&lt;35,"error",IF(ini_age+A6&gt;=85,_nD85,IF(ini_age+A6&gt;=75,_nD75,IF(ini_age+A6&gt;=65,_nD65,IF(ini_age+A6&gt;=55,_nD55, IF(ini_age+A6&gt;=45, _nD45, _nD35))))))</f>
        <v>1.38E-2</v>
      </c>
      <c r="E6" s="6">
        <f>$E$5-F6-G6</f>
        <v>976.2</v>
      </c>
      <c r="F6" s="6">
        <f>F5*(1-tpDcm-$C5)+E5*tpProg*$A6</f>
        <v>10</v>
      </c>
      <c r="G6" s="6">
        <f>G5+F5*tpDcm+(E5+F5)*$C5</f>
        <v>13.799999999999999</v>
      </c>
      <c r="I6" s="6">
        <f>E6+F6</f>
        <v>986.2</v>
      </c>
      <c r="J6" s="6">
        <f t="shared" ref="J6:J50" si="1">E6*uAsymp+F6*uProg</f>
        <v>934.89</v>
      </c>
      <c r="K6" s="6">
        <f>(E6+F6)/((1+oDR)^$A6)</f>
        <v>930.37735849056605</v>
      </c>
      <c r="L6" s="6">
        <f t="shared" ref="L6:L50" si="2">(E6*uAsymp+F6*uProg)/((1+oDR)^$A6)</f>
        <v>881.97169811320748</v>
      </c>
      <c r="N6" s="6">
        <f>(E6*cAsymp+'Markov Model'!F6*cProg)/((1+cDR)^$A6)</f>
        <v>488773.58490566036</v>
      </c>
      <c r="O6" s="31">
        <f t="shared" ref="O6:O33" si="3">F5*tpDcm</f>
        <v>0</v>
      </c>
      <c r="P6" s="6">
        <f t="shared" ref="P6:P50" si="4">F5*tpDcm*cDeath</f>
        <v>0</v>
      </c>
      <c r="Q6">
        <f t="shared" ref="Q6:Q50" si="5">(F5*tpDcm*cDeath)/((1+cDR)^$A5)</f>
        <v>0</v>
      </c>
      <c r="R6" s="6">
        <f t="shared" ref="R6:R50" si="6">N6+Q6</f>
        <v>488773.58490566036</v>
      </c>
      <c r="U6" s="6">
        <f>$E$5-V6-W6</f>
        <v>981.2</v>
      </c>
      <c r="V6" s="6">
        <f>V5*(1-tpDcm-$C5)+U5*tpProg*(1-effect)*$A6</f>
        <v>5</v>
      </c>
      <c r="W6" s="6">
        <f>W5+V5*tpDcm+(U5+V5)*$C5</f>
        <v>13.799999999999999</v>
      </c>
      <c r="Y6" s="6">
        <f t="shared" ref="Y6:Y50" si="7">U6+V6</f>
        <v>986.2</v>
      </c>
      <c r="Z6" s="6">
        <f t="shared" ref="Z6:Z50" si="8">U6*uAsymp+V6*uProg</f>
        <v>935.89</v>
      </c>
      <c r="AA6" s="6">
        <f t="shared" ref="AA6:AA50" si="9">(U6+V6)/((1+oDR)^$A6)</f>
        <v>930.37735849056605</v>
      </c>
      <c r="AB6" s="6">
        <f t="shared" ref="AB6:AB50" si="10">(U6*uAsymp+V6*uProg)/((1+oDR)^$A6)</f>
        <v>882.91509433962256</v>
      </c>
      <c r="AD6" s="6">
        <f>(U6*(cAsymp+cDrug)+'Markov Model'!V6*cProg)/((1+cDR)^$A6)</f>
        <v>1402641.5094339622</v>
      </c>
      <c r="AE6">
        <f>(V5*tpDcm*cDeath)/((1+cDR)^$A5)</f>
        <v>0</v>
      </c>
      <c r="AF6" s="6">
        <f t="shared" ref="AF6:AF50" si="11">AD6+AE6</f>
        <v>1402641.5094339622</v>
      </c>
    </row>
    <row r="7" spans="1:32" x14ac:dyDescent="0.2">
      <c r="A7">
        <v>2</v>
      </c>
      <c r="C7">
        <f t="shared" si="0"/>
        <v>1.38E-2</v>
      </c>
      <c r="E7" s="6">
        <f t="shared" ref="E7:E50" si="12">$E$5-F7-G7</f>
        <v>943.20443999999998</v>
      </c>
      <c r="F7" s="6">
        <f t="shared" ref="F7:F50" si="13">F6*(1-tpDcm-$C6)+E6*tpProg*$A7</f>
        <v>27.886000000000003</v>
      </c>
      <c r="G7" s="6">
        <f t="shared" ref="G7:G50" si="14">G6+F6*tpDcm+(E6+F6)*$C6</f>
        <v>28.909559999999999</v>
      </c>
      <c r="I7" s="6">
        <f t="shared" ref="I7:I50" si="15">E7+F7</f>
        <v>971.09043999999994</v>
      </c>
      <c r="J7" s="6">
        <f t="shared" si="1"/>
        <v>916.95871799999986</v>
      </c>
      <c r="K7" s="6">
        <f t="shared" ref="K7:K50" si="16">(E7+F7)/((1+oDR)^$A7)</f>
        <v>864.26703453186167</v>
      </c>
      <c r="L7" s="6">
        <f t="shared" si="2"/>
        <v>816.08999466002115</v>
      </c>
      <c r="N7" s="6">
        <f>(E7*cAsymp+'Markov Model'!F7*cProg)/((1+cDR)^$A7)</f>
        <v>494179.61908152356</v>
      </c>
      <c r="O7" s="31">
        <f t="shared" si="3"/>
        <v>1.5</v>
      </c>
      <c r="P7" s="6">
        <f t="shared" si="4"/>
        <v>1500</v>
      </c>
      <c r="Q7">
        <f t="shared" si="5"/>
        <v>1415.0943396226414</v>
      </c>
      <c r="R7" s="6">
        <f t="shared" si="6"/>
        <v>495594.71342114621</v>
      </c>
      <c r="U7" s="6">
        <f t="shared" ref="U7:U50" si="17">$E$5-V7-W7</f>
        <v>957.84744000000001</v>
      </c>
      <c r="V7" s="6">
        <f t="shared" ref="V7:V50" si="18">V6*(1-tpDcm-$C6)+U6*tpProg*(1-effect)*$A7</f>
        <v>13.993000000000002</v>
      </c>
      <c r="W7" s="6">
        <f t="shared" ref="W7:W50" si="19">W6+V6*tpDcm+(U6+V6)*$C6</f>
        <v>28.159559999999999</v>
      </c>
      <c r="Y7" s="6">
        <f t="shared" si="7"/>
        <v>971.84044000000006</v>
      </c>
      <c r="Z7" s="6">
        <f t="shared" si="8"/>
        <v>920.44981799999994</v>
      </c>
      <c r="AA7" s="6">
        <f t="shared" si="9"/>
        <v>864.93453186187253</v>
      </c>
      <c r="AB7" s="6">
        <f t="shared" si="10"/>
        <v>819.1970612317549</v>
      </c>
      <c r="AD7" s="6">
        <f>(U7*(cAsymp+cDrug)+'Markov Model'!V7*cProg)/((1+cDR)^$A7)</f>
        <v>1316082.3780704874</v>
      </c>
      <c r="AE7">
        <f>(V6*tpDcm*cDeath)/((1+cDR)^$A6)</f>
        <v>707.54716981132071</v>
      </c>
      <c r="AF7" s="6">
        <f t="shared" si="11"/>
        <v>1316789.9252402987</v>
      </c>
    </row>
    <row r="8" spans="1:32" x14ac:dyDescent="0.2">
      <c r="A8">
        <v>3</v>
      </c>
      <c r="C8">
        <f t="shared" si="0"/>
        <v>1.38E-2</v>
      </c>
      <c r="E8" s="6">
        <f t="shared" si="12"/>
        <v>901.89208552800005</v>
      </c>
      <c r="F8" s="6">
        <f t="shared" si="13"/>
        <v>51.6144064</v>
      </c>
      <c r="G8" s="6">
        <f t="shared" si="14"/>
        <v>46.493508071999997</v>
      </c>
      <c r="I8" s="6">
        <f t="shared" si="15"/>
        <v>953.50649192800006</v>
      </c>
      <c r="J8" s="6">
        <f t="shared" si="1"/>
        <v>895.50828605160007</v>
      </c>
      <c r="K8" s="6">
        <f t="shared" si="16"/>
        <v>800.58243711923251</v>
      </c>
      <c r="L8" s="6">
        <f t="shared" si="2"/>
        <v>751.88602508412976</v>
      </c>
      <c r="N8" s="6">
        <f>(E8*cAsymp+'Markov Model'!F8*cProg)/((1+cDR)^$A8)</f>
        <v>508632.34579888091</v>
      </c>
      <c r="O8" s="31">
        <f t="shared" si="3"/>
        <v>4.1829000000000001</v>
      </c>
      <c r="P8" s="6">
        <f t="shared" si="4"/>
        <v>4182.8999999999996</v>
      </c>
      <c r="Q8">
        <f t="shared" si="5"/>
        <v>3722.7661089355634</v>
      </c>
      <c r="R8" s="6">
        <f t="shared" si="6"/>
        <v>512355.11190781649</v>
      </c>
      <c r="U8" s="6">
        <f t="shared" si="17"/>
        <v>930.26143372800004</v>
      </c>
      <c r="V8" s="6">
        <f t="shared" si="18"/>
        <v>26.068658200000002</v>
      </c>
      <c r="W8" s="6">
        <f t="shared" si="19"/>
        <v>43.669908071999998</v>
      </c>
      <c r="Y8" s="6">
        <f t="shared" si="7"/>
        <v>956.330091928</v>
      </c>
      <c r="Z8" s="6">
        <f t="shared" si="8"/>
        <v>903.29985569159999</v>
      </c>
      <c r="AA8" s="6">
        <f t="shared" si="9"/>
        <v>802.95318612680251</v>
      </c>
      <c r="AB8" s="6">
        <f t="shared" si="10"/>
        <v>758.42797719896271</v>
      </c>
      <c r="AD8" s="6">
        <f>(U8*(cAsymp+cDrug)+'Markov Model'!V8*cProg)/((1+cDR)^$A8)</f>
        <v>1237261.4013514509</v>
      </c>
      <c r="AE8">
        <f t="shared" ref="AE8:AE50" si="20">(V7*tpDcm*cDeath)/((1+cDR)^$A7)</f>
        <v>1868.0580277678889</v>
      </c>
      <c r="AF8" s="6">
        <f t="shared" si="11"/>
        <v>1239129.4593792188</v>
      </c>
    </row>
    <row r="9" spans="1:32" x14ac:dyDescent="0.2">
      <c r="A9">
        <v>4</v>
      </c>
      <c r="C9">
        <f t="shared" si="0"/>
        <v>1.38E-2</v>
      </c>
      <c r="E9" s="6">
        <f t="shared" si="12"/>
        <v>853.37029132659359</v>
      </c>
      <c r="F9" s="6">
        <f t="shared" si="13"/>
        <v>79.235650052799997</v>
      </c>
      <c r="G9" s="6">
        <f t="shared" si="14"/>
        <v>67.394058620606401</v>
      </c>
      <c r="I9" s="6">
        <f t="shared" si="15"/>
        <v>932.60594137939358</v>
      </c>
      <c r="J9" s="6">
        <f t="shared" si="1"/>
        <v>870.12851429986392</v>
      </c>
      <c r="K9" s="6">
        <f t="shared" si="16"/>
        <v>738.71125646474638</v>
      </c>
      <c r="L9" s="6">
        <f t="shared" si="2"/>
        <v>689.22328237963541</v>
      </c>
      <c r="N9" s="6">
        <f>(E9*cAsymp+'Markov Model'!F9*cProg)/((1+cDR)^$A9)</f>
        <v>526260.76900579373</v>
      </c>
      <c r="O9" s="31">
        <f t="shared" si="3"/>
        <v>7.7421609599999996</v>
      </c>
      <c r="P9" s="6">
        <f t="shared" si="4"/>
        <v>7742.1609599999992</v>
      </c>
      <c r="Q9">
        <f t="shared" si="5"/>
        <v>6500.4676343558758</v>
      </c>
      <c r="R9" s="6">
        <f t="shared" si="6"/>
        <v>532761.23664014961</v>
      </c>
      <c r="U9" s="6">
        <f t="shared" si="17"/>
        <v>898.8185972679936</v>
      </c>
      <c r="V9" s="6">
        <f t="shared" si="18"/>
        <v>40.403840661400004</v>
      </c>
      <c r="W9" s="6">
        <f t="shared" si="19"/>
        <v>60.7775620706064</v>
      </c>
      <c r="Y9" s="6">
        <f t="shared" si="7"/>
        <v>939.22243792939355</v>
      </c>
      <c r="Z9" s="6">
        <f t="shared" si="8"/>
        <v>884.18054790064389</v>
      </c>
      <c r="AA9" s="6">
        <f t="shared" si="9"/>
        <v>743.9521414548376</v>
      </c>
      <c r="AB9" s="6">
        <f t="shared" si="10"/>
        <v>700.35380915042094</v>
      </c>
      <c r="AD9" s="6">
        <f>(U9*(cAsymp+cDrug)+'Markov Model'!V9*cProg)/((1+cDR)^$A9)</f>
        <v>1163933.6514198168</v>
      </c>
      <c r="AE9">
        <f t="shared" si="20"/>
        <v>3283.1622161247196</v>
      </c>
      <c r="AF9" s="6">
        <f t="shared" si="11"/>
        <v>1167216.8136359416</v>
      </c>
    </row>
    <row r="10" spans="1:32" x14ac:dyDescent="0.2">
      <c r="A10">
        <v>5</v>
      </c>
      <c r="C10">
        <f t="shared" si="0"/>
        <v>1.38E-2</v>
      </c>
      <c r="E10" s="6">
        <f t="shared" si="12"/>
        <v>798.9252667399569</v>
      </c>
      <c r="F10" s="6">
        <f t="shared" si="13"/>
        <v>108.92536514048103</v>
      </c>
      <c r="G10" s="6">
        <f t="shared" si="14"/>
        <v>92.149368119562041</v>
      </c>
      <c r="I10" s="6">
        <f t="shared" si="15"/>
        <v>907.85063188043796</v>
      </c>
      <c r="J10" s="6">
        <f t="shared" si="1"/>
        <v>840.67302725831985</v>
      </c>
      <c r="K10" s="6">
        <f t="shared" si="16"/>
        <v>678.39880441427124</v>
      </c>
      <c r="L10" s="6">
        <f t="shared" si="2"/>
        <v>628.19979032682897</v>
      </c>
      <c r="N10" s="6">
        <f>(E10*cAsymp+'Markov Model'!F10*cProg)/((1+cDR)^$A10)</f>
        <v>542687.82554124552</v>
      </c>
      <c r="O10" s="31">
        <f t="shared" si="3"/>
        <v>11.885347507919999</v>
      </c>
      <c r="P10" s="6">
        <f t="shared" si="4"/>
        <v>11885.347507919998</v>
      </c>
      <c r="Q10">
        <f t="shared" si="5"/>
        <v>9414.3084464052281</v>
      </c>
      <c r="R10" s="6">
        <f t="shared" si="6"/>
        <v>552102.13398765074</v>
      </c>
      <c r="U10" s="6">
        <f t="shared" si="17"/>
        <v>863.94443569399539</v>
      </c>
      <c r="V10" s="6">
        <f t="shared" si="18"/>
        <v>56.256156492762528</v>
      </c>
      <c r="W10" s="6">
        <f t="shared" si="19"/>
        <v>79.799407813242027</v>
      </c>
      <c r="Y10" s="6">
        <f t="shared" si="7"/>
        <v>920.20059218675794</v>
      </c>
      <c r="Z10" s="6">
        <f t="shared" si="8"/>
        <v>862.93933127886748</v>
      </c>
      <c r="AA10" s="6">
        <f t="shared" si="9"/>
        <v>687.62741318774033</v>
      </c>
      <c r="AB10" s="6">
        <f t="shared" si="10"/>
        <v>644.83846798570346</v>
      </c>
      <c r="AD10" s="6">
        <f>(U10*(cAsymp+cDrug)+'Markov Model'!V10*cProg)/((1+cDR)^$A10)</f>
        <v>1094497.9288514834</v>
      </c>
      <c r="AE10">
        <f t="shared" si="20"/>
        <v>4800.5439237560413</v>
      </c>
      <c r="AF10" s="6">
        <f t="shared" si="11"/>
        <v>1099298.4727752395</v>
      </c>
    </row>
    <row r="11" spans="1:32" x14ac:dyDescent="0.2">
      <c r="A11">
        <v>6</v>
      </c>
      <c r="C11">
        <f t="shared" si="0"/>
        <v>1.38E-2</v>
      </c>
      <c r="E11" s="6">
        <f t="shared" si="12"/>
        <v>739.96458205454815</v>
      </c>
      <c r="F11" s="6">
        <f t="shared" si="13"/>
        <v>139.01890633486767</v>
      </c>
      <c r="G11" s="6">
        <f t="shared" si="14"/>
        <v>121.01651161058423</v>
      </c>
      <c r="I11" s="6">
        <f t="shared" si="15"/>
        <v>878.98348838941581</v>
      </c>
      <c r="J11" s="6">
        <f t="shared" si="1"/>
        <v>807.23053270297146</v>
      </c>
      <c r="K11" s="6">
        <f t="shared" si="16"/>
        <v>619.64867501255446</v>
      </c>
      <c r="L11" s="6">
        <f t="shared" si="2"/>
        <v>569.06567259369456</v>
      </c>
      <c r="N11" s="6">
        <f>(E11*cAsymp+'Markov Model'!F11*cProg)/((1+cDR)^$A11)</f>
        <v>554831.44585917983</v>
      </c>
      <c r="O11" s="31">
        <f t="shared" si="3"/>
        <v>16.338804771072155</v>
      </c>
      <c r="P11" s="6">
        <f t="shared" si="4"/>
        <v>16338.804771072155</v>
      </c>
      <c r="Q11">
        <f t="shared" si="5"/>
        <v>12209.305400046591</v>
      </c>
      <c r="R11" s="6">
        <f t="shared" si="6"/>
        <v>567040.75125922647</v>
      </c>
      <c r="U11" s="6">
        <f t="shared" si="17"/>
        <v>826.1036694105984</v>
      </c>
      <c r="V11" s="6">
        <f t="shared" si="18"/>
        <v>72.959731130067894</v>
      </c>
      <c r="W11" s="6">
        <f t="shared" si="19"/>
        <v>100.93659945933368</v>
      </c>
      <c r="Y11" s="6">
        <f t="shared" si="7"/>
        <v>899.06340054066629</v>
      </c>
      <c r="Z11" s="6">
        <f t="shared" si="8"/>
        <v>839.51828428761928</v>
      </c>
      <c r="AA11" s="6">
        <f t="shared" si="9"/>
        <v>633.80422073468128</v>
      </c>
      <c r="AB11" s="6">
        <f t="shared" si="10"/>
        <v>591.82726340038994</v>
      </c>
      <c r="AD11" s="6">
        <f>(U11*(cAsymp+cDrug)+'Markov Model'!V11*cProg)/((1+cDR)^$A11)</f>
        <v>1027856.9283337011</v>
      </c>
      <c r="AE11">
        <f t="shared" si="20"/>
        <v>6305.6809069873025</v>
      </c>
      <c r="AF11" s="6">
        <f t="shared" si="11"/>
        <v>1034162.6092406884</v>
      </c>
    </row>
    <row r="12" spans="1:32" x14ac:dyDescent="0.2">
      <c r="A12">
        <v>7</v>
      </c>
      <c r="C12">
        <f t="shared" si="0"/>
        <v>1.38E-2</v>
      </c>
      <c r="E12" s="6">
        <f t="shared" si="12"/>
        <v>677.95555007837697</v>
      </c>
      <c r="F12" s="6">
        <f t="shared" si="13"/>
        <v>168.0451302210347</v>
      </c>
      <c r="G12" s="6">
        <f t="shared" si="14"/>
        <v>153.99931970058833</v>
      </c>
      <c r="I12" s="6">
        <f t="shared" si="15"/>
        <v>846.00068029941167</v>
      </c>
      <c r="J12" s="6">
        <f t="shared" si="1"/>
        <v>770.09162024023408</v>
      </c>
      <c r="K12" s="6">
        <f t="shared" si="16"/>
        <v>562.6387705624594</v>
      </c>
      <c r="L12" s="6">
        <f t="shared" si="2"/>
        <v>512.15491018171815</v>
      </c>
      <c r="N12" s="6">
        <f>(E12*cAsymp+'Markov Model'!F12*cProg)/((1+cDR)^$A12)</f>
        <v>560718.40843895706</v>
      </c>
      <c r="O12" s="31">
        <f t="shared" si="3"/>
        <v>20.852835950230148</v>
      </c>
      <c r="P12" s="6">
        <f t="shared" si="4"/>
        <v>20852.835950230146</v>
      </c>
      <c r="Q12">
        <f t="shared" si="5"/>
        <v>14700.426501174155</v>
      </c>
      <c r="R12" s="6">
        <f t="shared" si="6"/>
        <v>575418.83494013117</v>
      </c>
      <c r="U12" s="6">
        <f t="shared" si="17"/>
        <v>785.7898103433613</v>
      </c>
      <c r="V12" s="6">
        <f t="shared" si="18"/>
        <v>89.922555600333709</v>
      </c>
      <c r="W12" s="6">
        <f t="shared" si="19"/>
        <v>124.28763405630505</v>
      </c>
      <c r="Y12" s="6">
        <f t="shared" si="7"/>
        <v>875.71236594369498</v>
      </c>
      <c r="Z12" s="6">
        <f t="shared" si="8"/>
        <v>813.94223652644348</v>
      </c>
      <c r="AA12" s="6">
        <f t="shared" si="9"/>
        <v>582.39873845790066</v>
      </c>
      <c r="AB12" s="6">
        <f t="shared" si="10"/>
        <v>541.31807447958522</v>
      </c>
      <c r="AD12" s="6">
        <f>(U12*(cAsymp+cDrug)+'Markov Model'!V12*cProg)/((1+cDR)^$A12)</f>
        <v>963303.56060250395</v>
      </c>
      <c r="AE12">
        <f t="shared" si="20"/>
        <v>7715.0597231679203</v>
      </c>
      <c r="AF12" s="6">
        <f t="shared" si="11"/>
        <v>971018.62032567186</v>
      </c>
    </row>
    <row r="13" spans="1:32" x14ac:dyDescent="0.2">
      <c r="A13">
        <v>8</v>
      </c>
      <c r="C13">
        <f t="shared" si="0"/>
        <v>1.38E-2</v>
      </c>
      <c r="E13" s="6">
        <f t="shared" si="12"/>
        <v>614.3633194810252</v>
      </c>
      <c r="F13" s="6">
        <f t="shared" si="13"/>
        <v>194.75578189709938</v>
      </c>
      <c r="G13" s="6">
        <f t="shared" si="14"/>
        <v>190.88089862187542</v>
      </c>
      <c r="I13" s="6">
        <f t="shared" si="15"/>
        <v>809.11910137812458</v>
      </c>
      <c r="J13" s="6">
        <f t="shared" si="1"/>
        <v>729.71198992979839</v>
      </c>
      <c r="K13" s="6">
        <f t="shared" si="16"/>
        <v>507.65133409361687</v>
      </c>
      <c r="L13" s="6">
        <f t="shared" si="2"/>
        <v>457.83032999841782</v>
      </c>
      <c r="N13" s="6">
        <f>(E13*cAsymp+'Markov Model'!F13*cProg)/((1+cDR)^$A13)</f>
        <v>559306.13442828518</v>
      </c>
      <c r="O13" s="31">
        <f t="shared" si="3"/>
        <v>25.206769533155203</v>
      </c>
      <c r="P13" s="6">
        <f t="shared" si="4"/>
        <v>25206.769533155202</v>
      </c>
      <c r="Q13">
        <f t="shared" si="5"/>
        <v>16763.941389463638</v>
      </c>
      <c r="R13" s="6">
        <f t="shared" si="6"/>
        <v>576070.07581774879</v>
      </c>
      <c r="U13" s="6">
        <f t="shared" si="17"/>
        <v>743.51431854688838</v>
      </c>
      <c r="V13" s="6">
        <f t="shared" si="18"/>
        <v>106.62483340673349</v>
      </c>
      <c r="W13" s="6">
        <f t="shared" si="19"/>
        <v>149.86084804637809</v>
      </c>
      <c r="Y13" s="6">
        <f t="shared" si="7"/>
        <v>850.13915195362188</v>
      </c>
      <c r="Z13" s="6">
        <f t="shared" si="8"/>
        <v>786.30722767459406</v>
      </c>
      <c r="AA13" s="6">
        <f t="shared" si="9"/>
        <v>533.38782129775132</v>
      </c>
      <c r="AB13" s="6">
        <f t="shared" si="10"/>
        <v>493.3388823185345</v>
      </c>
      <c r="AD13" s="6">
        <f>(U13*(cAsymp+cDrug)+'Markov Model'!V13*cProg)/((1+cDR)^$A13)</f>
        <v>900428.34130409581</v>
      </c>
      <c r="AE13">
        <f t="shared" si="20"/>
        <v>8970.545291565295</v>
      </c>
      <c r="AF13" s="6">
        <f t="shared" si="11"/>
        <v>909398.88659566105</v>
      </c>
    </row>
    <row r="14" spans="1:32" x14ac:dyDescent="0.2">
      <c r="A14">
        <v>9</v>
      </c>
      <c r="C14">
        <f t="shared" si="0"/>
        <v>1.38E-2</v>
      </c>
      <c r="E14" s="6">
        <f t="shared" si="12"/>
        <v>550.59240691889477</v>
      </c>
      <c r="F14" s="6">
        <f t="shared" si="13"/>
        <v>218.14748357564676</v>
      </c>
      <c r="G14" s="6">
        <f t="shared" si="14"/>
        <v>231.26010950545844</v>
      </c>
      <c r="I14" s="6">
        <f t="shared" si="15"/>
        <v>768.73989049454156</v>
      </c>
      <c r="J14" s="6">
        <f t="shared" si="1"/>
        <v>686.67339925468514</v>
      </c>
      <c r="K14" s="6">
        <f t="shared" si="16"/>
        <v>455.01596003795879</v>
      </c>
      <c r="L14" s="6">
        <f t="shared" si="2"/>
        <v>406.44092996578757</v>
      </c>
      <c r="N14" s="6">
        <f>(E14*cAsymp+'Markov Model'!F14*cProg)/((1+cDR)^$A14)</f>
        <v>550310.88089739613</v>
      </c>
      <c r="O14" s="31">
        <f t="shared" si="3"/>
        <v>29.213367284564907</v>
      </c>
      <c r="P14" s="6">
        <f t="shared" si="4"/>
        <v>29213.367284564905</v>
      </c>
      <c r="Q14">
        <f t="shared" si="5"/>
        <v>18328.828042888603</v>
      </c>
      <c r="R14" s="6">
        <f t="shared" si="6"/>
        <v>568639.70894028468</v>
      </c>
      <c r="U14" s="6">
        <f t="shared" si="17"/>
        <v>699.79567661633132</v>
      </c>
      <c r="V14" s="6">
        <f t="shared" si="18"/>
        <v>122.61783002932052</v>
      </c>
      <c r="W14" s="6">
        <f t="shared" si="19"/>
        <v>177.58649335434808</v>
      </c>
      <c r="Y14" s="6">
        <f t="shared" si="7"/>
        <v>822.41350664565186</v>
      </c>
      <c r="Z14" s="6">
        <f t="shared" si="8"/>
        <v>756.76926530750507</v>
      </c>
      <c r="AA14" s="6">
        <f t="shared" si="9"/>
        <v>486.78529096990133</v>
      </c>
      <c r="AB14" s="6">
        <f t="shared" si="10"/>
        <v>447.93056538225812</v>
      </c>
      <c r="AD14" s="6">
        <f>(U14*(cAsymp+cDrug)+'Markov Model'!V14*cProg)/((1+cDR)^$A14)</f>
        <v>839043.89424846275</v>
      </c>
      <c r="AE14">
        <f t="shared" si="20"/>
        <v>10034.660935746879</v>
      </c>
      <c r="AF14" s="6">
        <f t="shared" si="11"/>
        <v>849078.5551842096</v>
      </c>
    </row>
    <row r="15" spans="1:32" x14ac:dyDescent="0.2">
      <c r="A15">
        <v>10</v>
      </c>
      <c r="C15">
        <f t="shared" si="0"/>
        <v>3.7900000000000003E-2</v>
      </c>
      <c r="E15" s="6">
        <f t="shared" si="12"/>
        <v>487.93499101152457</v>
      </c>
      <c r="F15" s="6">
        <f t="shared" si="13"/>
        <v>237.47416645784529</v>
      </c>
      <c r="G15" s="6">
        <f t="shared" si="14"/>
        <v>274.59084253063014</v>
      </c>
      <c r="I15" s="6">
        <f t="shared" si="15"/>
        <v>725.4091574693698</v>
      </c>
      <c r="J15" s="6">
        <f t="shared" si="1"/>
        <v>641.64386630433228</v>
      </c>
      <c r="K15" s="6">
        <f t="shared" si="16"/>
        <v>405.06468465729239</v>
      </c>
      <c r="L15" s="6">
        <f t="shared" si="2"/>
        <v>358.29058358396134</v>
      </c>
      <c r="N15" s="6">
        <f>(E15*cAsymp+'Markov Model'!F15*cProg)/((1+cDR)^$A15)</f>
        <v>534043.17783447646</v>
      </c>
      <c r="O15" s="31">
        <f t="shared" si="3"/>
        <v>32.722122536347015</v>
      </c>
      <c r="P15" s="6">
        <f t="shared" si="4"/>
        <v>32722.122536347015</v>
      </c>
      <c r="Q15">
        <f t="shared" si="5"/>
        <v>19368.174052705002</v>
      </c>
      <c r="R15" s="6">
        <f t="shared" si="6"/>
        <v>553411.35188718152</v>
      </c>
      <c r="U15" s="6">
        <f t="shared" si="17"/>
        <v>655.14871244820938</v>
      </c>
      <c r="V15" s="6">
        <f t="shared" si="18"/>
        <v>137.52281330133437</v>
      </c>
      <c r="W15" s="6">
        <f t="shared" si="19"/>
        <v>207.32847425045617</v>
      </c>
      <c r="Y15" s="6">
        <f t="shared" si="7"/>
        <v>792.67152574954378</v>
      </c>
      <c r="Z15" s="6">
        <f t="shared" si="8"/>
        <v>725.53338680179968</v>
      </c>
      <c r="AA15" s="6">
        <f t="shared" si="9"/>
        <v>442.62363978788261</v>
      </c>
      <c r="AB15" s="6">
        <f t="shared" si="10"/>
        <v>405.13405366766085</v>
      </c>
      <c r="AD15" s="6">
        <f>(U15*(cAsymp+cDrug)+'Markov Model'!V15*cProg)/((1+cDR)^$A15)</f>
        <v>779123.49066303088</v>
      </c>
      <c r="AE15">
        <f t="shared" si="20"/>
        <v>10886.595779361087</v>
      </c>
      <c r="AF15" s="6">
        <f t="shared" si="11"/>
        <v>790010.08644239197</v>
      </c>
    </row>
    <row r="16" spans="1:32" x14ac:dyDescent="0.2">
      <c r="A16">
        <v>11</v>
      </c>
      <c r="C16">
        <f t="shared" si="0"/>
        <v>3.7900000000000003E-2</v>
      </c>
      <c r="E16" s="6">
        <f t="shared" si="12"/>
        <v>415.76940584092011</v>
      </c>
      <c r="F16" s="6">
        <f t="shared" si="13"/>
        <v>246.52561959168384</v>
      </c>
      <c r="G16" s="6">
        <f t="shared" si="14"/>
        <v>337.70497456739605</v>
      </c>
      <c r="I16" s="6">
        <f t="shared" si="15"/>
        <v>662.29502543260401</v>
      </c>
      <c r="J16" s="6">
        <f t="shared" si="1"/>
        <v>579.87515024263689</v>
      </c>
      <c r="K16" s="6">
        <f t="shared" si="16"/>
        <v>348.88875752682185</v>
      </c>
      <c r="L16" s="6">
        <f t="shared" si="2"/>
        <v>305.47099543241285</v>
      </c>
      <c r="N16" s="6">
        <f>(E16*cAsymp+'Markov Model'!F16*cProg)/((1+cDR)^$A16)</f>
        <v>499110.93148925877</v>
      </c>
      <c r="O16" s="31">
        <f t="shared" si="3"/>
        <v>35.621124968676789</v>
      </c>
      <c r="P16" s="6">
        <f t="shared" si="4"/>
        <v>35621.124968676791</v>
      </c>
      <c r="Q16">
        <f t="shared" si="5"/>
        <v>19890.650130349812</v>
      </c>
      <c r="R16" s="6">
        <f t="shared" si="6"/>
        <v>519001.58161960857</v>
      </c>
      <c r="U16" s="6">
        <f t="shared" si="17"/>
        <v>594.28539706177082</v>
      </c>
      <c r="V16" s="6">
        <f t="shared" si="18"/>
        <v>147.71545586666514</v>
      </c>
      <c r="W16" s="6">
        <f t="shared" si="19"/>
        <v>257.99914707156404</v>
      </c>
      <c r="Y16" s="6">
        <f t="shared" si="7"/>
        <v>742.00085292843596</v>
      </c>
      <c r="Z16" s="6">
        <f t="shared" si="8"/>
        <v>675.35771910868107</v>
      </c>
      <c r="AA16" s="6">
        <f t="shared" si="9"/>
        <v>390.87679315264256</v>
      </c>
      <c r="AB16" s="6">
        <f t="shared" si="10"/>
        <v>355.77002160339129</v>
      </c>
      <c r="AD16" s="6">
        <f>(U16*(cAsymp+cDrug)+'Markov Model'!V16*cProg)/((1+cDR)^$A16)</f>
        <v>703037.1789161074</v>
      </c>
      <c r="AE16">
        <f t="shared" si="20"/>
        <v>11518.803098120699</v>
      </c>
      <c r="AF16" s="6">
        <f t="shared" si="11"/>
        <v>714555.98201422812</v>
      </c>
    </row>
    <row r="17" spans="1:32" x14ac:dyDescent="0.2">
      <c r="A17">
        <v>12</v>
      </c>
      <c r="C17">
        <f t="shared" si="0"/>
        <v>3.7900000000000003E-2</v>
      </c>
      <c r="E17" s="6">
        <f t="shared" si="12"/>
        <v>350.1194166586389</v>
      </c>
      <c r="F17" s="6">
        <f t="shared" si="13"/>
        <v>250.09578437131682</v>
      </c>
      <c r="G17" s="6">
        <f t="shared" si="14"/>
        <v>399.78479897004433</v>
      </c>
      <c r="I17" s="6">
        <f t="shared" si="15"/>
        <v>600.21520102995578</v>
      </c>
      <c r="J17" s="6">
        <f t="shared" si="1"/>
        <v>520.18528410419458</v>
      </c>
      <c r="K17" s="6">
        <f t="shared" si="16"/>
        <v>298.28856646509854</v>
      </c>
      <c r="L17" s="6">
        <f t="shared" si="2"/>
        <v>258.5161495833828</v>
      </c>
      <c r="N17" s="6">
        <f>(E17*cAsymp+'Markov Model'!F17*cProg)/((1+cDR)^$A17)</f>
        <v>459869.14021330944</v>
      </c>
      <c r="O17" s="31">
        <f t="shared" si="3"/>
        <v>36.978842938752571</v>
      </c>
      <c r="P17" s="6">
        <f t="shared" si="4"/>
        <v>36978.842938752568</v>
      </c>
      <c r="Q17">
        <f t="shared" si="5"/>
        <v>19479.993163550866</v>
      </c>
      <c r="R17" s="6">
        <f t="shared" si="6"/>
        <v>479349.13337686029</v>
      </c>
      <c r="U17" s="6">
        <f t="shared" si="17"/>
        <v>536.10485668942351</v>
      </c>
      <c r="V17" s="6">
        <f t="shared" si="18"/>
        <v>155.61684553302499</v>
      </c>
      <c r="W17" s="6">
        <f t="shared" si="19"/>
        <v>308.27829777755153</v>
      </c>
      <c r="Y17" s="6">
        <f t="shared" si="7"/>
        <v>691.72170222244847</v>
      </c>
      <c r="Z17" s="6">
        <f t="shared" si="8"/>
        <v>626.01224800472107</v>
      </c>
      <c r="AA17" s="6">
        <f t="shared" si="9"/>
        <v>343.76449412588966</v>
      </c>
      <c r="AB17" s="6">
        <f t="shared" si="10"/>
        <v>311.10890848231361</v>
      </c>
      <c r="AD17" s="6">
        <f>(U17*(cAsymp+cDrug)+'Markov Model'!V17*cProg)/((1+cDR)^$A17)</f>
        <v>631651.94821844622</v>
      </c>
      <c r="AE17">
        <f t="shared" si="20"/>
        <v>11672.198918714348</v>
      </c>
      <c r="AF17" s="6">
        <f t="shared" si="11"/>
        <v>643324.14713716053</v>
      </c>
    </row>
    <row r="18" spans="1:32" x14ac:dyDescent="0.2">
      <c r="A18">
        <v>13</v>
      </c>
      <c r="C18">
        <f t="shared" si="0"/>
        <v>3.7900000000000003E-2</v>
      </c>
      <c r="E18" s="6">
        <f t="shared" si="12"/>
        <v>291.33436660165336</v>
      </c>
      <c r="F18" s="6">
        <f t="shared" si="13"/>
        <v>248.61831065356944</v>
      </c>
      <c r="G18" s="6">
        <f t="shared" si="14"/>
        <v>460.0473227447772</v>
      </c>
      <c r="I18" s="6">
        <f t="shared" si="15"/>
        <v>539.95267725522285</v>
      </c>
      <c r="J18" s="6">
        <f t="shared" si="1"/>
        <v>463.23138126174774</v>
      </c>
      <c r="K18" s="6">
        <f t="shared" si="16"/>
        <v>253.1508852615336</v>
      </c>
      <c r="L18" s="6">
        <f t="shared" si="2"/>
        <v>217.18094786277888</v>
      </c>
      <c r="N18" s="6">
        <f>(E18*cAsymp+'Markov Model'!F18*cProg)/((1+cDR)^$A18)</f>
        <v>417980.35682674183</v>
      </c>
      <c r="O18" s="31">
        <f t="shared" si="3"/>
        <v>37.514367655697519</v>
      </c>
      <c r="P18" s="6">
        <f t="shared" si="4"/>
        <v>37514.367655697519</v>
      </c>
      <c r="Q18">
        <f t="shared" si="5"/>
        <v>18643.49141884561</v>
      </c>
      <c r="R18" s="6">
        <f t="shared" si="6"/>
        <v>436623.84824558743</v>
      </c>
      <c r="U18" s="6">
        <f t="shared" si="17"/>
        <v>480.93966693608189</v>
      </c>
      <c r="V18" s="6">
        <f t="shared" si="18"/>
        <v>161.22325594218211</v>
      </c>
      <c r="W18" s="6">
        <f t="shared" si="19"/>
        <v>357.83707712173606</v>
      </c>
      <c r="Y18" s="6">
        <f t="shared" si="7"/>
        <v>642.162922878264</v>
      </c>
      <c r="Z18" s="6">
        <f t="shared" si="8"/>
        <v>577.81012554591439</v>
      </c>
      <c r="AA18" s="6">
        <f t="shared" si="9"/>
        <v>301.07103688260122</v>
      </c>
      <c r="AB18" s="6">
        <f t="shared" si="10"/>
        <v>270.89993430273569</v>
      </c>
      <c r="AD18" s="6">
        <f>(U18*(cAsymp+cDrug)+'Markov Model'!V18*cProg)/((1+cDR)^$A18)</f>
        <v>564988.18584191799</v>
      </c>
      <c r="AE18">
        <f t="shared" si="20"/>
        <v>11600.520702961174</v>
      </c>
      <c r="AF18" s="6">
        <f t="shared" si="11"/>
        <v>576588.70654487913</v>
      </c>
    </row>
    <row r="19" spans="1:32" x14ac:dyDescent="0.2">
      <c r="A19">
        <v>14</v>
      </c>
      <c r="C19">
        <f t="shared" si="0"/>
        <v>3.7900000000000003E-2</v>
      </c>
      <c r="E19" s="6">
        <f t="shared" si="12"/>
        <v>239.50598278321922</v>
      </c>
      <c r="F19" s="6">
        <f t="shared" si="13"/>
        <v>242.68974140599519</v>
      </c>
      <c r="G19" s="6">
        <f t="shared" si="14"/>
        <v>517.80427581078561</v>
      </c>
      <c r="I19" s="6">
        <f t="shared" si="15"/>
        <v>482.19572418921439</v>
      </c>
      <c r="J19" s="6">
        <f t="shared" si="1"/>
        <v>409.54798969855466</v>
      </c>
      <c r="K19" s="6">
        <f t="shared" si="16"/>
        <v>213.27563382864429</v>
      </c>
      <c r="L19" s="6">
        <f t="shared" si="2"/>
        <v>181.14347080342708</v>
      </c>
      <c r="N19" s="6">
        <f>(E19*cAsymp+'Markov Model'!F19*cProg)/((1+cDR)^$A19)</f>
        <v>374992.58358663489</v>
      </c>
      <c r="O19" s="31">
        <f t="shared" si="3"/>
        <v>37.292746598035414</v>
      </c>
      <c r="P19" s="6">
        <f t="shared" si="4"/>
        <v>37292.746598035417</v>
      </c>
      <c r="Q19">
        <f t="shared" si="5"/>
        <v>17484.294851758499</v>
      </c>
      <c r="R19" s="6">
        <f t="shared" si="6"/>
        <v>392476.87843839341</v>
      </c>
      <c r="U19" s="6">
        <f t="shared" si="17"/>
        <v>429.04627687367855</v>
      </c>
      <c r="V19" s="6">
        <f t="shared" si="18"/>
        <v>164.59518283617183</v>
      </c>
      <c r="W19" s="6">
        <f t="shared" si="19"/>
        <v>406.35854029014962</v>
      </c>
      <c r="Y19" s="6">
        <f t="shared" si="7"/>
        <v>593.64145970985032</v>
      </c>
      <c r="Z19" s="6">
        <f t="shared" si="8"/>
        <v>531.0403501571235</v>
      </c>
      <c r="AA19" s="6">
        <f t="shared" si="9"/>
        <v>262.56819012542354</v>
      </c>
      <c r="AB19" s="6">
        <f t="shared" si="10"/>
        <v>234.87965899901491</v>
      </c>
      <c r="AD19" s="6">
        <f>(U19*(cAsymp+cDrug)+'Markov Model'!V19*cProg)/((1+cDR)^$A19)</f>
        <v>503053.19733916636</v>
      </c>
      <c r="AE19">
        <f t="shared" si="20"/>
        <v>11338.163051801617</v>
      </c>
      <c r="AF19" s="6">
        <f t="shared" si="11"/>
        <v>514391.36039096798</v>
      </c>
    </row>
    <row r="20" spans="1:32" x14ac:dyDescent="0.2">
      <c r="A20">
        <v>15</v>
      </c>
      <c r="C20">
        <f t="shared" si="0"/>
        <v>3.7900000000000003E-2</v>
      </c>
      <c r="E20" s="6">
        <f t="shared" si="12"/>
        <v>194.50280861825229</v>
      </c>
      <c r="F20" s="6">
        <f t="shared" si="13"/>
        <v>233.01423641329154</v>
      </c>
      <c r="G20" s="6">
        <f t="shared" si="14"/>
        <v>572.48295496845617</v>
      </c>
      <c r="I20" s="6">
        <f t="shared" si="15"/>
        <v>427.51704503154383</v>
      </c>
      <c r="J20" s="6">
        <f t="shared" si="1"/>
        <v>359.53834549730834</v>
      </c>
      <c r="K20" s="6">
        <f t="shared" si="16"/>
        <v>178.38792576056588</v>
      </c>
      <c r="L20" s="6">
        <f t="shared" si="2"/>
        <v>150.02278957069007</v>
      </c>
      <c r="N20" s="6">
        <f>(E20*cAsymp+'Markov Model'!F20*cProg)/((1+cDR)^$A20)</f>
        <v>332265.7116533771</v>
      </c>
      <c r="O20" s="31">
        <f t="shared" si="3"/>
        <v>36.40346121089928</v>
      </c>
      <c r="P20" s="6">
        <f t="shared" si="4"/>
        <v>36403.461210899281</v>
      </c>
      <c r="Q20">
        <f t="shared" si="5"/>
        <v>16101.286000338767</v>
      </c>
      <c r="R20" s="6">
        <f t="shared" si="6"/>
        <v>348366.99765371589</v>
      </c>
      <c r="U20" s="6">
        <f t="shared" si="17"/>
        <v>380.60695221464027</v>
      </c>
      <c r="V20" s="6">
        <f t="shared" si="18"/>
        <v>165.84621874678103</v>
      </c>
      <c r="W20" s="6">
        <f t="shared" si="19"/>
        <v>453.54682903857872</v>
      </c>
      <c r="Y20" s="6">
        <f t="shared" si="7"/>
        <v>546.45317096142128</v>
      </c>
      <c r="Z20" s="6">
        <f t="shared" si="8"/>
        <v>485.96126866399402</v>
      </c>
      <c r="AA20" s="6">
        <f t="shared" si="9"/>
        <v>228.01581557034606</v>
      </c>
      <c r="AB20" s="6">
        <f t="shared" si="10"/>
        <v>202.77465828420171</v>
      </c>
      <c r="AD20" s="6">
        <f>(U20*(cAsymp+cDrug)+'Markov Model'!V20*cProg)/((1+cDR)^$A20)</f>
        <v>445826.47216272209</v>
      </c>
      <c r="AE20">
        <f t="shared" si="20"/>
        <v>10920.091215103108</v>
      </c>
      <c r="AF20" s="6">
        <f t="shared" si="11"/>
        <v>456746.56337782519</v>
      </c>
    </row>
    <row r="21" spans="1:32" x14ac:dyDescent="0.2">
      <c r="A21">
        <v>16</v>
      </c>
      <c r="C21">
        <f t="shared" si="0"/>
        <v>3.7900000000000003E-2</v>
      </c>
      <c r="E21" s="6">
        <f t="shared" si="12"/>
        <v>156.01070279270016</v>
      </c>
      <c r="F21" s="6">
        <f t="shared" si="13"/>
        <v>220.35131077015441</v>
      </c>
      <c r="G21" s="6">
        <f t="shared" si="14"/>
        <v>623.6379864371454</v>
      </c>
      <c r="I21" s="6">
        <f t="shared" si="15"/>
        <v>376.3620135628546</v>
      </c>
      <c r="J21" s="6">
        <f t="shared" si="1"/>
        <v>313.47365073068096</v>
      </c>
      <c r="K21" s="6">
        <f t="shared" si="16"/>
        <v>148.15350796967437</v>
      </c>
      <c r="L21" s="6">
        <f t="shared" si="2"/>
        <v>123.39773765200867</v>
      </c>
      <c r="N21" s="6">
        <f>(E21*cAsymp+'Markov Model'!F21*cProg)/((1+cDR)^$A21)</f>
        <v>290927.94047461182</v>
      </c>
      <c r="O21" s="31">
        <f t="shared" si="3"/>
        <v>34.952135461993727</v>
      </c>
      <c r="P21" s="6">
        <f t="shared" si="4"/>
        <v>34952.135461993726</v>
      </c>
      <c r="Q21">
        <f t="shared" si="5"/>
        <v>14584.304926385646</v>
      </c>
      <c r="R21" s="6">
        <f t="shared" si="6"/>
        <v>305512.24540099746</v>
      </c>
      <c r="U21" s="6">
        <f t="shared" si="17"/>
        <v>335.7333925485342</v>
      </c>
      <c r="V21" s="6">
        <f t="shared" si="18"/>
        <v>165.13227042143208</v>
      </c>
      <c r="W21" s="6">
        <f t="shared" si="19"/>
        <v>499.13433703003375</v>
      </c>
      <c r="Y21" s="6">
        <f t="shared" si="7"/>
        <v>500.86566296996625</v>
      </c>
      <c r="Z21" s="6">
        <f t="shared" si="8"/>
        <v>442.79592573718156</v>
      </c>
      <c r="AA21" s="6">
        <f t="shared" si="9"/>
        <v>197.16390686746198</v>
      </c>
      <c r="AB21" s="6">
        <f t="shared" si="10"/>
        <v>174.304970609599</v>
      </c>
      <c r="AD21" s="6">
        <f>(U21*(cAsymp+cDrug)+'Markov Model'!V21*cProg)/((1+cDR)^$A21)</f>
        <v>393251.41715986736</v>
      </c>
      <c r="AE21">
        <f t="shared" si="20"/>
        <v>10380.274880720295</v>
      </c>
      <c r="AF21" s="6">
        <f t="shared" si="11"/>
        <v>403631.69204058766</v>
      </c>
    </row>
    <row r="22" spans="1:32" x14ac:dyDescent="0.2">
      <c r="A22">
        <v>17</v>
      </c>
      <c r="C22">
        <f t="shared" si="0"/>
        <v>3.7900000000000003E-2</v>
      </c>
      <c r="E22" s="6">
        <f t="shared" si="12"/>
        <v>123.57607768209789</v>
      </c>
      <c r="F22" s="6">
        <f t="shared" si="13"/>
        <v>205.46911895120144</v>
      </c>
      <c r="G22" s="6">
        <f t="shared" si="14"/>
        <v>670.95480336670073</v>
      </c>
      <c r="I22" s="6">
        <f t="shared" si="15"/>
        <v>329.04519663329933</v>
      </c>
      <c r="J22" s="6">
        <f t="shared" si="1"/>
        <v>271.49911301139412</v>
      </c>
      <c r="K22" s="6">
        <f t="shared" si="16"/>
        <v>122.19567813984646</v>
      </c>
      <c r="L22" s="6">
        <f t="shared" si="2"/>
        <v>100.82511025306579</v>
      </c>
      <c r="N22" s="6">
        <f>(E22*cAsymp+'Markov Model'!F22*cProg)/((1+cDR)^$A22)</f>
        <v>251857.63881727782</v>
      </c>
      <c r="O22" s="31">
        <f t="shared" si="3"/>
        <v>33.052696615523161</v>
      </c>
      <c r="P22" s="6">
        <f t="shared" si="4"/>
        <v>33052.696615523164</v>
      </c>
      <c r="Q22">
        <f t="shared" si="5"/>
        <v>13011.071189386477</v>
      </c>
      <c r="R22" s="6">
        <f t="shared" si="6"/>
        <v>264868.71000666427</v>
      </c>
      <c r="U22" s="6">
        <f t="shared" si="17"/>
        <v>294.47175860431946</v>
      </c>
      <c r="V22" s="6">
        <f t="shared" si="18"/>
        <v>162.64125517587041</v>
      </c>
      <c r="W22" s="6">
        <f t="shared" si="19"/>
        <v>542.88698621981018</v>
      </c>
      <c r="Y22" s="6">
        <f t="shared" si="7"/>
        <v>457.11301378018987</v>
      </c>
      <c r="Z22" s="6">
        <f t="shared" si="8"/>
        <v>401.72911205600627</v>
      </c>
      <c r="AA22" s="6">
        <f t="shared" si="9"/>
        <v>169.75550859558282</v>
      </c>
      <c r="AB22" s="6">
        <f t="shared" si="10"/>
        <v>149.18789813215039</v>
      </c>
      <c r="AD22" s="6">
        <f>(U22*(cAsymp+cDrug)+'Markov Model'!V22*cProg)/((1+cDR)^$A22)</f>
        <v>345232.0256457738</v>
      </c>
      <c r="AE22">
        <f t="shared" si="20"/>
        <v>9750.5556858674354</v>
      </c>
      <c r="AF22" s="6">
        <f t="shared" si="11"/>
        <v>354982.58133164124</v>
      </c>
    </row>
    <row r="23" spans="1:32" x14ac:dyDescent="0.2">
      <c r="A23">
        <v>18</v>
      </c>
      <c r="C23">
        <f t="shared" si="0"/>
        <v>3.7900000000000003E-2</v>
      </c>
      <c r="E23" s="6">
        <f t="shared" si="12"/>
        <v>96.648850355168747</v>
      </c>
      <c r="F23" s="6">
        <f t="shared" si="13"/>
        <v>189.1051654830483</v>
      </c>
      <c r="G23" s="6">
        <f t="shared" si="14"/>
        <v>714.24598416178299</v>
      </c>
      <c r="I23" s="6">
        <f t="shared" si="15"/>
        <v>285.75401583821701</v>
      </c>
      <c r="J23" s="6">
        <f t="shared" si="1"/>
        <v>233.64528194969654</v>
      </c>
      <c r="K23" s="6">
        <f t="shared" si="16"/>
        <v>100.11214523915565</v>
      </c>
      <c r="L23" s="6">
        <f t="shared" si="2"/>
        <v>81.856173857708541</v>
      </c>
      <c r="N23" s="6">
        <f>(E23*cAsymp+'Markov Model'!F23*cProg)/((1+cDR)^$A23)</f>
        <v>215685.62411319459</v>
      </c>
      <c r="O23" s="31">
        <f t="shared" si="3"/>
        <v>30.820367842680213</v>
      </c>
      <c r="P23" s="6">
        <f t="shared" si="4"/>
        <v>30820.367842680214</v>
      </c>
      <c r="Q23">
        <f t="shared" si="5"/>
        <v>11445.587984841275</v>
      </c>
      <c r="R23" s="6">
        <f t="shared" si="6"/>
        <v>227131.21209803587</v>
      </c>
      <c r="U23" s="6">
        <f t="shared" si="17"/>
        <v>256.80882067882692</v>
      </c>
      <c r="V23" s="6">
        <f t="shared" si="18"/>
        <v>158.58342160271309</v>
      </c>
      <c r="W23" s="6">
        <f t="shared" si="19"/>
        <v>584.60775771845999</v>
      </c>
      <c r="Y23" s="6">
        <f t="shared" si="7"/>
        <v>415.39224228154001</v>
      </c>
      <c r="Z23" s="6">
        <f t="shared" si="8"/>
        <v>362.90594584692042</v>
      </c>
      <c r="AA23" s="6">
        <f t="shared" si="9"/>
        <v>145.53009296657569</v>
      </c>
      <c r="AB23" s="6">
        <f t="shared" si="10"/>
        <v>127.14184489133983</v>
      </c>
      <c r="AD23" s="6">
        <f>(U23*(cAsymp+cDrug)+'Markov Model'!V23*cProg)/((1+cDR)^$A23)</f>
        <v>301633.21515166672</v>
      </c>
      <c r="AE23">
        <f t="shared" si="20"/>
        <v>9059.8762752399543</v>
      </c>
      <c r="AF23" s="6">
        <f t="shared" si="11"/>
        <v>310693.0914269067</v>
      </c>
    </row>
    <row r="24" spans="1:32" x14ac:dyDescent="0.2">
      <c r="A24">
        <v>19</v>
      </c>
      <c r="C24">
        <f t="shared" si="0"/>
        <v>3.7900000000000003E-2</v>
      </c>
      <c r="E24" s="6">
        <f t="shared" si="12"/>
        <v>74.622577359225716</v>
      </c>
      <c r="F24" s="6">
        <f t="shared" si="13"/>
        <v>171.93558645626558</v>
      </c>
      <c r="G24" s="6">
        <f t="shared" si="14"/>
        <v>753.4418361845087</v>
      </c>
      <c r="I24" s="6">
        <f t="shared" si="15"/>
        <v>246.5581638154913</v>
      </c>
      <c r="J24" s="6">
        <f t="shared" si="1"/>
        <v>199.84313833346363</v>
      </c>
      <c r="K24" s="6">
        <f t="shared" si="16"/>
        <v>81.490680985825108</v>
      </c>
      <c r="L24" s="6">
        <f t="shared" si="2"/>
        <v>66.050757278210995</v>
      </c>
      <c r="N24" s="6">
        <f>(E24*cAsymp+'Markov Model'!F24*cProg)/((1+cDR)^$A24)</f>
        <v>182812.7112219483</v>
      </c>
      <c r="O24" s="31">
        <f t="shared" si="3"/>
        <v>28.365774822457244</v>
      </c>
      <c r="P24" s="6">
        <f t="shared" si="4"/>
        <v>28365.774822457242</v>
      </c>
      <c r="Q24">
        <f t="shared" si="5"/>
        <v>9937.7730896170033</v>
      </c>
      <c r="R24" s="6">
        <f t="shared" si="6"/>
        <v>192750.48431156529</v>
      </c>
      <c r="U24" s="6">
        <f t="shared" si="17"/>
        <v>222.67892841061087</v>
      </c>
      <c r="V24" s="6">
        <f t="shared" si="18"/>
        <v>153.18243464805184</v>
      </c>
      <c r="W24" s="6">
        <f t="shared" si="19"/>
        <v>624.13863694133727</v>
      </c>
      <c r="Y24" s="6">
        <f t="shared" si="7"/>
        <v>375.86136305866273</v>
      </c>
      <c r="Z24" s="6">
        <f t="shared" si="8"/>
        <v>326.43180797611922</v>
      </c>
      <c r="AA24" s="6">
        <f t="shared" si="9"/>
        <v>124.22707063486996</v>
      </c>
      <c r="AB24" s="6">
        <f t="shared" si="10"/>
        <v>107.88995957690003</v>
      </c>
      <c r="AD24" s="6">
        <f>(U24*(cAsymp+cDrug)+'Markov Model'!V24*cProg)/((1+cDR)^$A24)</f>
        <v>262283.78739900311</v>
      </c>
      <c r="AE24">
        <f t="shared" si="20"/>
        <v>8333.8075701803191</v>
      </c>
      <c r="AF24" s="6">
        <f t="shared" si="11"/>
        <v>270617.59496918344</v>
      </c>
    </row>
    <row r="25" spans="1:32" x14ac:dyDescent="0.2">
      <c r="A25">
        <v>20</v>
      </c>
      <c r="C25">
        <f t="shared" si="0"/>
        <v>9.1200000000000003E-2</v>
      </c>
      <c r="E25" s="6">
        <f t="shared" si="12"/>
        <v>56.869866205465883</v>
      </c>
      <c r="F25" s="6">
        <f t="shared" si="13"/>
        <v>154.55340523297843</v>
      </c>
      <c r="G25" s="6">
        <f t="shared" si="14"/>
        <v>788.57672856155568</v>
      </c>
      <c r="I25" s="6">
        <f t="shared" si="15"/>
        <v>211.42327143844432</v>
      </c>
      <c r="J25" s="6">
        <f t="shared" si="1"/>
        <v>169.94142681992642</v>
      </c>
      <c r="K25" s="6">
        <f t="shared" si="16"/>
        <v>65.922775408226599</v>
      </c>
      <c r="L25" s="6">
        <f t="shared" si="2"/>
        <v>52.988540176218635</v>
      </c>
      <c r="N25" s="6">
        <f>(E25*cAsymp+'Markov Model'!F25*cProg)/((1+cDR)^$A25)</f>
        <v>153437.59347407118</v>
      </c>
      <c r="O25" s="31">
        <f t="shared" si="3"/>
        <v>25.790337968439836</v>
      </c>
      <c r="P25" s="6">
        <f t="shared" si="4"/>
        <v>25790.337968439835</v>
      </c>
      <c r="Q25">
        <f t="shared" si="5"/>
        <v>8524.0422437421439</v>
      </c>
      <c r="R25" s="6">
        <f t="shared" si="6"/>
        <v>161961.63571781333</v>
      </c>
      <c r="U25" s="6">
        <f t="shared" si="17"/>
        <v>191.97150418278773</v>
      </c>
      <c r="V25" s="6">
        <f t="shared" si="18"/>
        <v>146.66734801874395</v>
      </c>
      <c r="W25" s="6">
        <f t="shared" si="19"/>
        <v>661.36114779846832</v>
      </c>
      <c r="Y25" s="6">
        <f t="shared" si="7"/>
        <v>338.63885220153168</v>
      </c>
      <c r="Z25" s="6">
        <f t="shared" si="8"/>
        <v>292.37343998770632</v>
      </c>
      <c r="AA25" s="6">
        <f t="shared" si="9"/>
        <v>105.58919482371564</v>
      </c>
      <c r="AB25" s="6">
        <f t="shared" si="10"/>
        <v>91.163420604111721</v>
      </c>
      <c r="AD25" s="6">
        <f>(U25*(cAsymp+cDrug)+'Markov Model'!V25*cProg)/((1+cDR)^$A25)</f>
        <v>226981.15082370958</v>
      </c>
      <c r="AE25">
        <f t="shared" si="20"/>
        <v>7594.318144669819</v>
      </c>
      <c r="AF25" s="6">
        <f t="shared" si="11"/>
        <v>234575.4689683794</v>
      </c>
    </row>
    <row r="26" spans="1:32" x14ac:dyDescent="0.2">
      <c r="A26">
        <v>21</v>
      </c>
      <c r="C26">
        <f t="shared" si="0"/>
        <v>9.1200000000000003E-2</v>
      </c>
      <c r="E26" s="6">
        <f t="shared" si="12"/>
        <v>39.740662504379657</v>
      </c>
      <c r="F26" s="6">
        <f t="shared" si="13"/>
        <v>129.21779579393186</v>
      </c>
      <c r="G26" s="6">
        <f t="shared" si="14"/>
        <v>831.04154170168852</v>
      </c>
      <c r="I26" s="6">
        <f t="shared" si="15"/>
        <v>168.95845829831151</v>
      </c>
      <c r="J26" s="6">
        <f t="shared" si="1"/>
        <v>134.66697622460958</v>
      </c>
      <c r="K26" s="6">
        <f t="shared" si="16"/>
        <v>49.700043344149876</v>
      </c>
      <c r="L26" s="6">
        <f t="shared" si="2"/>
        <v>39.613018624801121</v>
      </c>
      <c r="N26" s="6">
        <f>(E26*cAsymp+'Markov Model'!F26*cProg)/((1+cDR)^$A26)</f>
        <v>119875.30357384079</v>
      </c>
      <c r="O26" s="31">
        <f t="shared" si="3"/>
        <v>23.183010784946763</v>
      </c>
      <c r="P26" s="6">
        <f t="shared" si="4"/>
        <v>23183.010784946764</v>
      </c>
      <c r="Q26">
        <f t="shared" si="5"/>
        <v>7228.5723461974721</v>
      </c>
      <c r="R26" s="6">
        <f t="shared" si="6"/>
        <v>127103.87592003826</v>
      </c>
      <c r="U26" s="6">
        <f t="shared" si="17"/>
        <v>154.30669506212473</v>
      </c>
      <c r="V26" s="6">
        <f t="shared" si="18"/>
        <v>131.4481916158156</v>
      </c>
      <c r="W26" s="6">
        <f t="shared" si="19"/>
        <v>714.24511332205964</v>
      </c>
      <c r="Y26" s="6">
        <f t="shared" si="7"/>
        <v>285.75488667794036</v>
      </c>
      <c r="Z26" s="6">
        <f t="shared" si="8"/>
        <v>245.17750402088018</v>
      </c>
      <c r="AA26" s="6">
        <f t="shared" si="9"/>
        <v>84.05634377073504</v>
      </c>
      <c r="AB26" s="6">
        <f t="shared" si="10"/>
        <v>72.120287433813544</v>
      </c>
      <c r="AD26" s="6">
        <f>(U26*(cAsymp+cDrug)+'Markov Model'!V26*cProg)/((1+cDR)^$A26)</f>
        <v>184083.809268988</v>
      </c>
      <c r="AE26">
        <f t="shared" si="20"/>
        <v>6859.7358588136103</v>
      </c>
      <c r="AF26" s="6">
        <f t="shared" si="11"/>
        <v>190943.5451278016</v>
      </c>
    </row>
    <row r="27" spans="1:32" x14ac:dyDescent="0.2">
      <c r="A27">
        <v>22</v>
      </c>
      <c r="C27">
        <f t="shared" si="0"/>
        <v>9.1200000000000003E-2</v>
      </c>
      <c r="E27" s="6">
        <f t="shared" si="12"/>
        <v>27.373368333016742</v>
      </c>
      <c r="F27" s="6">
        <f t="shared" si="13"/>
        <v>106.79340919939901</v>
      </c>
      <c r="G27" s="6">
        <f t="shared" si="14"/>
        <v>865.83322246758428</v>
      </c>
      <c r="I27" s="6">
        <f t="shared" si="15"/>
        <v>134.16677753241575</v>
      </c>
      <c r="J27" s="6">
        <f t="shared" si="1"/>
        <v>106.09975681591517</v>
      </c>
      <c r="K27" s="6">
        <f t="shared" si="16"/>
        <v>37.231964600997607</v>
      </c>
      <c r="L27" s="6">
        <f t="shared" si="2"/>
        <v>29.443223297139891</v>
      </c>
      <c r="N27" s="6">
        <f>(E27*cAsymp+'Markov Model'!F27*cProg)/((1+cDR)^$A27)</f>
        <v>92705.270723096794</v>
      </c>
      <c r="O27" s="31">
        <f t="shared" si="3"/>
        <v>19.382669369089779</v>
      </c>
      <c r="P27" s="6">
        <f t="shared" si="4"/>
        <v>19382.669369089777</v>
      </c>
      <c r="Q27">
        <f t="shared" si="5"/>
        <v>5701.5169141059514</v>
      </c>
      <c r="R27" s="6">
        <f t="shared" si="6"/>
        <v>98406.787637202739</v>
      </c>
      <c r="U27" s="6">
        <f t="shared" si="17"/>
        <v>123.26018801562532</v>
      </c>
      <c r="V27" s="6">
        <f t="shared" si="18"/>
        <v>116.71662425491459</v>
      </c>
      <c r="W27" s="6">
        <f t="shared" si="19"/>
        <v>760.02318772946012</v>
      </c>
      <c r="Y27" s="6">
        <f t="shared" si="7"/>
        <v>239.97681227053991</v>
      </c>
      <c r="Z27" s="6">
        <f t="shared" si="8"/>
        <v>204.63464680602999</v>
      </c>
      <c r="AA27" s="6">
        <f t="shared" si="9"/>
        <v>66.594788544863647</v>
      </c>
      <c r="AB27" s="6">
        <f t="shared" si="10"/>
        <v>56.787157492688223</v>
      </c>
      <c r="AD27" s="6">
        <f>(U27*(cAsymp+cDrug)+'Markov Model'!V27*cProg)/((1+cDR)^$A27)</f>
        <v>148476.37000428728</v>
      </c>
      <c r="AE27">
        <f t="shared" si="20"/>
        <v>5799.929361288544</v>
      </c>
      <c r="AF27" s="6">
        <f t="shared" si="11"/>
        <v>154276.29936557583</v>
      </c>
    </row>
    <row r="28" spans="1:32" x14ac:dyDescent="0.2">
      <c r="A28">
        <v>23</v>
      </c>
      <c r="C28">
        <f t="shared" si="0"/>
        <v>9.1200000000000003E-2</v>
      </c>
      <c r="E28" s="6">
        <f t="shared" si="12"/>
        <v>18.581042424451766</v>
      </c>
      <c r="F28" s="6">
        <f t="shared" si="13"/>
        <v>87.330713617097814</v>
      </c>
      <c r="G28" s="6">
        <f t="shared" si="14"/>
        <v>894.08824395845045</v>
      </c>
      <c r="I28" s="6">
        <f t="shared" si="15"/>
        <v>105.91175604154958</v>
      </c>
      <c r="J28" s="6">
        <f t="shared" si="1"/>
        <v>83.150025516052551</v>
      </c>
      <c r="K28" s="6">
        <f t="shared" si="16"/>
        <v>27.727407664179946</v>
      </c>
      <c r="L28" s="6">
        <f t="shared" si="2"/>
        <v>21.768448951654467</v>
      </c>
      <c r="N28" s="6">
        <f>(E28*cAsymp+'Markov Model'!F28*cProg)/((1+cDR)^$A28)</f>
        <v>71021.057948546033</v>
      </c>
      <c r="O28" s="31">
        <f t="shared" si="3"/>
        <v>16.019011379909852</v>
      </c>
      <c r="P28" s="6">
        <f t="shared" si="4"/>
        <v>16019.011379909853</v>
      </c>
      <c r="Q28">
        <f t="shared" si="5"/>
        <v>4445.3573053558794</v>
      </c>
      <c r="R28" s="6">
        <f t="shared" si="6"/>
        <v>75466.415253901912</v>
      </c>
      <c r="U28" s="6">
        <f t="shared" si="17"/>
        <v>97.843937246803421</v>
      </c>
      <c r="V28" s="6">
        <f t="shared" si="18"/>
        <v>102.73949610642609</v>
      </c>
      <c r="W28" s="6">
        <f t="shared" si="19"/>
        <v>799.41656664677055</v>
      </c>
      <c r="Y28" s="6">
        <f t="shared" si="7"/>
        <v>200.58343335322951</v>
      </c>
      <c r="Z28" s="6">
        <f t="shared" si="8"/>
        <v>170.0063624642828</v>
      </c>
      <c r="AA28" s="6">
        <f t="shared" si="9"/>
        <v>52.512193500823493</v>
      </c>
      <c r="AB28" s="6">
        <f t="shared" si="10"/>
        <v>44.507200085533974</v>
      </c>
      <c r="AD28" s="6">
        <f>(U28*(cAsymp+cDrug)+'Markov Model'!V28*cProg)/((1+cDR)^$A28)</f>
        <v>119113.6683030978</v>
      </c>
      <c r="AE28">
        <f t="shared" si="20"/>
        <v>4858.418718699184</v>
      </c>
      <c r="AF28" s="6">
        <f t="shared" si="11"/>
        <v>123972.08702179699</v>
      </c>
    </row>
    <row r="29" spans="1:32" x14ac:dyDescent="0.2">
      <c r="A29">
        <v>24</v>
      </c>
      <c r="C29">
        <f t="shared" si="0"/>
        <v>9.1200000000000003E-2</v>
      </c>
      <c r="E29" s="6">
        <f t="shared" si="12"/>
        <v>12.427001173473286</v>
      </c>
      <c r="F29" s="6">
        <f t="shared" si="13"/>
        <v>70.725995674522238</v>
      </c>
      <c r="G29" s="6">
        <f t="shared" si="14"/>
        <v>916.8470031520045</v>
      </c>
      <c r="I29" s="6">
        <f t="shared" si="15"/>
        <v>83.152996847995524</v>
      </c>
      <c r="J29" s="6">
        <f t="shared" si="1"/>
        <v>64.850147870691302</v>
      </c>
      <c r="K29" s="6">
        <f t="shared" si="16"/>
        <v>20.537006451150337</v>
      </c>
      <c r="L29" s="6">
        <f t="shared" si="2"/>
        <v>16.016595380356943</v>
      </c>
      <c r="N29" s="6">
        <f>(E29*cAsymp+'Markov Model'!F29*cProg)/((1+cDR)^$A29)</f>
        <v>53938.012578523638</v>
      </c>
      <c r="O29" s="31">
        <f t="shared" si="3"/>
        <v>13.099607042564672</v>
      </c>
      <c r="P29" s="6">
        <f t="shared" si="4"/>
        <v>13099.607042564672</v>
      </c>
      <c r="Q29">
        <f t="shared" si="5"/>
        <v>3429.4412469873637</v>
      </c>
      <c r="R29" s="6">
        <f t="shared" si="6"/>
        <v>57367.453825511002</v>
      </c>
      <c r="U29" s="6">
        <f t="shared" si="17"/>
        <v>77.179297700278426</v>
      </c>
      <c r="V29" s="6">
        <f t="shared" si="18"/>
        <v>89.700002115172509</v>
      </c>
      <c r="W29" s="6">
        <f t="shared" si="19"/>
        <v>833.12070018454904</v>
      </c>
      <c r="Y29" s="6">
        <f t="shared" si="7"/>
        <v>166.87929981545093</v>
      </c>
      <c r="Z29" s="6">
        <f t="shared" si="8"/>
        <v>140.59533440164387</v>
      </c>
      <c r="AA29" s="6">
        <f t="shared" si="9"/>
        <v>41.215607215435945</v>
      </c>
      <c r="AB29" s="6">
        <f t="shared" si="10"/>
        <v>34.724031593069427</v>
      </c>
      <c r="AD29" s="6">
        <f>(U29*(cAsymp+cDrug)+'Markov Model'!V29*cProg)/((1+cDR)^$A29)</f>
        <v>95054.375285114322</v>
      </c>
      <c r="AE29">
        <f t="shared" si="20"/>
        <v>4034.5378051862554</v>
      </c>
      <c r="AF29" s="6">
        <f t="shared" si="11"/>
        <v>99088.913090300572</v>
      </c>
    </row>
    <row r="30" spans="1:32" x14ac:dyDescent="0.2">
      <c r="A30">
        <v>25</v>
      </c>
      <c r="C30">
        <f t="shared" si="0"/>
        <v>9.1200000000000003E-2</v>
      </c>
      <c r="E30" s="6">
        <f t="shared" si="12"/>
        <v>8.1869083730840657</v>
      </c>
      <c r="F30" s="6">
        <f t="shared" si="13"/>
        <v>56.773635811195788</v>
      </c>
      <c r="G30" s="6">
        <f t="shared" si="14"/>
        <v>935.03945581572009</v>
      </c>
      <c r="I30" s="6">
        <f t="shared" si="15"/>
        <v>64.960544184279854</v>
      </c>
      <c r="J30" s="6">
        <f t="shared" si="1"/>
        <v>50.357789812826702</v>
      </c>
      <c r="K30" s="6">
        <f t="shared" si="16"/>
        <v>15.135717831724984</v>
      </c>
      <c r="L30" s="6">
        <f t="shared" si="2"/>
        <v>11.733296061591629</v>
      </c>
      <c r="N30" s="6">
        <f>(E30*cAsymp+'Markov Model'!F30*cProg)/((1+cDR)^$A30)</f>
        <v>40638.307397701305</v>
      </c>
      <c r="O30" s="31">
        <f t="shared" si="3"/>
        <v>10.608899351178335</v>
      </c>
      <c r="P30" s="6">
        <f t="shared" si="4"/>
        <v>10608.899351178336</v>
      </c>
      <c r="Q30">
        <f t="shared" si="5"/>
        <v>2620.170561176908</v>
      </c>
      <c r="R30" s="6">
        <f t="shared" si="6"/>
        <v>43258.477958878211</v>
      </c>
      <c r="U30" s="6">
        <f t="shared" si="17"/>
        <v>60.493133537478229</v>
      </c>
      <c r="V30" s="6">
        <f t="shared" si="18"/>
        <v>77.7117738175277</v>
      </c>
      <c r="W30" s="6">
        <f t="shared" si="19"/>
        <v>861.79509264499404</v>
      </c>
      <c r="Y30" s="6">
        <f t="shared" si="7"/>
        <v>138.20490735500593</v>
      </c>
      <c r="Z30" s="6">
        <f t="shared" si="8"/>
        <v>115.75230722375008</v>
      </c>
      <c r="AA30" s="6">
        <f t="shared" si="9"/>
        <v>32.201554142634102</v>
      </c>
      <c r="AB30" s="6">
        <f t="shared" si="10"/>
        <v>26.970129060799909</v>
      </c>
      <c r="AD30" s="6">
        <f>(U30*(cAsymp+cDrug)+'Markov Model'!V30*cProg)/((1+cDR)^$A30)</f>
        <v>75462.436524219782</v>
      </c>
      <c r="AE30">
        <f t="shared" si="20"/>
        <v>3323.0964461960407</v>
      </c>
      <c r="AF30" s="6">
        <f t="shared" si="11"/>
        <v>78785.532970415821</v>
      </c>
    </row>
    <row r="31" spans="1:32" x14ac:dyDescent="0.2">
      <c r="A31">
        <v>26</v>
      </c>
      <c r="C31">
        <f t="shared" si="0"/>
        <v>9.1200000000000003E-2</v>
      </c>
      <c r="E31" s="6">
        <f t="shared" si="12"/>
        <v>5.3116661524569508</v>
      </c>
      <c r="F31" s="6">
        <f t="shared" si="13"/>
        <v>45.20843103053722</v>
      </c>
      <c r="G31" s="6">
        <f t="shared" si="14"/>
        <v>949.47990281700584</v>
      </c>
      <c r="I31" s="6">
        <f t="shared" si="15"/>
        <v>50.520097182994171</v>
      </c>
      <c r="J31" s="6">
        <f t="shared" si="1"/>
        <v>38.95240611773702</v>
      </c>
      <c r="K31" s="6">
        <f t="shared" si="16"/>
        <v>11.104824015623903</v>
      </c>
      <c r="L31" s="6">
        <f t="shared" si="2"/>
        <v>8.5621295096832792</v>
      </c>
      <c r="N31" s="6">
        <f>(E31*cAsymp+'Markov Model'!F31*cProg)/((1+cDR)^$A31)</f>
        <v>30395.578322304813</v>
      </c>
      <c r="O31" s="31">
        <f t="shared" si="3"/>
        <v>8.5160453716793683</v>
      </c>
      <c r="P31" s="6">
        <f t="shared" si="4"/>
        <v>8516.0453716793691</v>
      </c>
      <c r="Q31">
        <f t="shared" si="5"/>
        <v>1984.2269089103286</v>
      </c>
      <c r="R31" s="6">
        <f t="shared" si="6"/>
        <v>32379.805231215141</v>
      </c>
      <c r="U31" s="6">
        <f t="shared" si="17"/>
        <v>47.112052398988112</v>
      </c>
      <c r="V31" s="6">
        <f t="shared" si="18"/>
        <v>66.831801332612187</v>
      </c>
      <c r="W31" s="6">
        <f t="shared" si="19"/>
        <v>886.05614626839974</v>
      </c>
      <c r="Y31" s="6">
        <f t="shared" si="7"/>
        <v>113.9438537316003</v>
      </c>
      <c r="Z31" s="6">
        <f t="shared" si="8"/>
        <v>94.88030077849784</v>
      </c>
      <c r="AA31" s="6">
        <f t="shared" si="9"/>
        <v>25.046001767734928</v>
      </c>
      <c r="AB31" s="6">
        <f t="shared" si="10"/>
        <v>20.855641644516663</v>
      </c>
      <c r="AD31" s="6">
        <f>(U31*(cAsymp+cDrug)+'Markov Model'!V31*cProg)/((1+cDR)^$A31)</f>
        <v>59604.452912838766</v>
      </c>
      <c r="AE31">
        <f t="shared" si="20"/>
        <v>2716.0105310268632</v>
      </c>
      <c r="AF31" s="6">
        <f t="shared" si="11"/>
        <v>62320.463443865629</v>
      </c>
    </row>
    <row r="32" spans="1:32" x14ac:dyDescent="0.2">
      <c r="A32">
        <v>27</v>
      </c>
      <c r="C32">
        <f t="shared" si="0"/>
        <v>9.1200000000000003E-2</v>
      </c>
      <c r="E32" s="6">
        <f t="shared" si="12"/>
        <v>3.39309233818949</v>
      </c>
      <c r="F32" s="6">
        <f t="shared" si="13"/>
        <v>35.738307327135018</v>
      </c>
      <c r="G32" s="6">
        <f t="shared" si="14"/>
        <v>960.86860033467553</v>
      </c>
      <c r="I32" s="6">
        <f t="shared" si="15"/>
        <v>39.131399665324508</v>
      </c>
      <c r="J32" s="6">
        <f t="shared" si="1"/>
        <v>30.027168216631278</v>
      </c>
      <c r="K32" s="6">
        <f t="shared" si="16"/>
        <v>8.1145981948390826</v>
      </c>
      <c r="L32" s="6">
        <f t="shared" si="2"/>
        <v>6.2266723677333369</v>
      </c>
      <c r="N32" s="6">
        <f>(E32*cAsymp+'Markov Model'!F32*cProg)/((1+cDR)^$A32)</f>
        <v>22584.748064466941</v>
      </c>
      <c r="O32" s="31">
        <f t="shared" si="3"/>
        <v>6.7812646545805828</v>
      </c>
      <c r="P32" s="6">
        <f t="shared" si="4"/>
        <v>6781.2646545805828</v>
      </c>
      <c r="Q32">
        <f t="shared" si="5"/>
        <v>1490.5899788695717</v>
      </c>
      <c r="R32" s="6">
        <f t="shared" si="6"/>
        <v>24075.338043336513</v>
      </c>
      <c r="U32" s="6">
        <f t="shared" si="17"/>
        <v>36.455306146336966</v>
      </c>
      <c r="V32" s="6">
        <f t="shared" si="18"/>
        <v>57.072097925049519</v>
      </c>
      <c r="W32" s="6">
        <f t="shared" si="19"/>
        <v>906.47259592861349</v>
      </c>
      <c r="Y32" s="6">
        <f t="shared" si="7"/>
        <v>93.527404071386485</v>
      </c>
      <c r="Z32" s="6">
        <f t="shared" si="8"/>
        <v>77.436614282807255</v>
      </c>
      <c r="AA32" s="6">
        <f t="shared" si="9"/>
        <v>19.394586207918728</v>
      </c>
      <c r="AB32" s="6">
        <f t="shared" si="10"/>
        <v>16.057872088601336</v>
      </c>
      <c r="AD32" s="6">
        <f>(U32*(cAsymp+cDrug)+'Markov Model'!V32*cProg)/((1+cDR)^$A32)</f>
        <v>46844.265378789009</v>
      </c>
      <c r="AE32">
        <f t="shared" si="20"/>
        <v>2203.5450261236379</v>
      </c>
      <c r="AF32" s="6">
        <f t="shared" si="11"/>
        <v>49047.810404912649</v>
      </c>
    </row>
    <row r="33" spans="1:32" x14ac:dyDescent="0.2">
      <c r="A33">
        <v>28</v>
      </c>
      <c r="C33">
        <f t="shared" si="0"/>
        <v>9.1200000000000003E-2</v>
      </c>
      <c r="E33" s="6">
        <f t="shared" si="12"/>
        <v>2.1335764622534725</v>
      </c>
      <c r="F33" s="6">
        <f t="shared" si="13"/>
        <v>28.068293454523108</v>
      </c>
      <c r="G33" s="6">
        <f t="shared" si="14"/>
        <v>969.79813008322344</v>
      </c>
      <c r="I33" s="6">
        <f t="shared" si="15"/>
        <v>30.20186991677658</v>
      </c>
      <c r="J33" s="6">
        <f t="shared" si="1"/>
        <v>23.078117730033128</v>
      </c>
      <c r="K33" s="6">
        <f t="shared" si="16"/>
        <v>5.9083961334404691</v>
      </c>
      <c r="L33" s="6">
        <f t="shared" si="2"/>
        <v>4.5147754738016799</v>
      </c>
      <c r="N33" s="6">
        <f>(E33*cAsymp+'Markov Model'!F33*cProg)/((1+cDR)^$A33)</f>
        <v>16681.70872880481</v>
      </c>
      <c r="O33" s="31">
        <f t="shared" si="3"/>
        <v>5.3607460990702522</v>
      </c>
      <c r="P33" s="6">
        <f t="shared" si="4"/>
        <v>5360.7460990702521</v>
      </c>
      <c r="Q33">
        <f t="shared" si="5"/>
        <v>1111.6469380228436</v>
      </c>
      <c r="R33" s="6">
        <f t="shared" si="6"/>
        <v>17793.355666827654</v>
      </c>
      <c r="U33" s="6">
        <f t="shared" si="17"/>
        <v>28.026839365303886</v>
      </c>
      <c r="V33" s="6">
        <f t="shared" si="18"/>
        <v>48.410050766014741</v>
      </c>
      <c r="W33" s="6">
        <f t="shared" si="19"/>
        <v>923.56310986868141</v>
      </c>
      <c r="Y33" s="6">
        <f t="shared" si="7"/>
        <v>76.43689013131862</v>
      </c>
      <c r="Z33" s="6">
        <f t="shared" si="8"/>
        <v>62.933035471549744</v>
      </c>
      <c r="AA33" s="6">
        <f t="shared" si="9"/>
        <v>14.953359753835331</v>
      </c>
      <c r="AB33" s="6">
        <f t="shared" si="10"/>
        <v>12.31159873446213</v>
      </c>
      <c r="AD33" s="6">
        <f>(U33*(cAsymp+cDrug)+'Markov Model'!V33*cProg)/((1+cDR)^$A33)</f>
        <v>36635.737368363756</v>
      </c>
      <c r="AE33">
        <f t="shared" si="20"/>
        <v>1775.2386066910915</v>
      </c>
      <c r="AF33" s="6">
        <f t="shared" si="11"/>
        <v>38410.975975054847</v>
      </c>
    </row>
    <row r="34" spans="1:32" x14ac:dyDescent="0.2">
      <c r="A34">
        <v>29</v>
      </c>
      <c r="C34">
        <f t="shared" si="0"/>
        <v>9.1200000000000003E-2</v>
      </c>
      <c r="E34" s="6">
        <f t="shared" si="12"/>
        <v>1.320257114842434</v>
      </c>
      <c r="F34" s="6">
        <f t="shared" si="13"/>
        <v>21.91695824734564</v>
      </c>
      <c r="G34" s="6">
        <f t="shared" si="14"/>
        <v>976.76278463781193</v>
      </c>
      <c r="I34" s="6">
        <f t="shared" si="15"/>
        <v>23.237215362188074</v>
      </c>
      <c r="J34" s="6">
        <f t="shared" si="1"/>
        <v>17.691962944609543</v>
      </c>
      <c r="K34" s="6">
        <f t="shared" si="16"/>
        <v>4.2885846852317178</v>
      </c>
      <c r="L34" s="6">
        <f t="shared" si="2"/>
        <v>3.2651709834131819</v>
      </c>
      <c r="N34" s="6">
        <f>(E34*cAsymp+'Markov Model'!F34*cProg)/((1+cDR)^$A34)</f>
        <v>12256.598187077736</v>
      </c>
      <c r="O34" s="6"/>
      <c r="P34" s="6">
        <f t="shared" si="4"/>
        <v>4210.2440181784659</v>
      </c>
      <c r="Q34">
        <f t="shared" si="5"/>
        <v>823.65063972507448</v>
      </c>
      <c r="R34" s="6">
        <f t="shared" si="6"/>
        <v>13080.24882680281</v>
      </c>
      <c r="U34" s="6">
        <f t="shared" si="17"/>
        <v>21.406899907219099</v>
      </c>
      <c r="V34" s="6">
        <f t="shared" si="18"/>
        <v>40.797438229221044</v>
      </c>
      <c r="W34" s="6">
        <f t="shared" si="19"/>
        <v>937.79566186355987</v>
      </c>
      <c r="Y34" s="6">
        <f t="shared" si="7"/>
        <v>62.204338136440143</v>
      </c>
      <c r="Z34" s="6">
        <f t="shared" si="8"/>
        <v>50.93463358377393</v>
      </c>
      <c r="AA34" s="6">
        <f t="shared" si="9"/>
        <v>11.48022978351365</v>
      </c>
      <c r="AB34" s="6">
        <f t="shared" si="10"/>
        <v>9.4003298644254318</v>
      </c>
      <c r="AD34" s="6">
        <f>(U34*(cAsymp+cDrug)+'Markov Model'!V34*cProg)/((1+cDR)^$A34)</f>
        <v>28514.507899614506</v>
      </c>
      <c r="AE34">
        <f t="shared" si="20"/>
        <v>1420.5697737610758</v>
      </c>
      <c r="AF34" s="6">
        <f t="shared" si="11"/>
        <v>29935.077673375581</v>
      </c>
    </row>
    <row r="35" spans="1:32" x14ac:dyDescent="0.2">
      <c r="A35">
        <v>30</v>
      </c>
      <c r="C35">
        <f t="shared" si="0"/>
        <v>0.1958</v>
      </c>
      <c r="E35" s="6">
        <f t="shared" si="12"/>
        <v>0.8037725315160742</v>
      </c>
      <c r="F35" s="6">
        <f t="shared" si="13"/>
        <v>17.026665052538601</v>
      </c>
      <c r="G35" s="6">
        <f t="shared" si="14"/>
        <v>982.16956241594528</v>
      </c>
      <c r="I35" s="6">
        <f t="shared" si="15"/>
        <v>17.830437584054675</v>
      </c>
      <c r="J35" s="6">
        <f t="shared" si="1"/>
        <v>13.53358269434422</v>
      </c>
      <c r="K35" s="6">
        <f t="shared" si="16"/>
        <v>3.104459821953653</v>
      </c>
      <c r="L35" s="6">
        <f t="shared" si="2"/>
        <v>2.3563338546021666</v>
      </c>
      <c r="N35" s="6">
        <f>(E35*cAsymp+'Markov Model'!F35*cProg)/((1+cDR)^$A35)</f>
        <v>8963.5171141493702</v>
      </c>
      <c r="O35" s="6"/>
      <c r="P35" s="6">
        <f t="shared" si="4"/>
        <v>3287.5437371018461</v>
      </c>
      <c r="Q35">
        <f t="shared" si="5"/>
        <v>606.73835066771255</v>
      </c>
      <c r="R35" s="6">
        <f t="shared" si="6"/>
        <v>9570.2554648170826</v>
      </c>
      <c r="U35" s="6">
        <f t="shared" si="17"/>
        <v>16.243555649597852</v>
      </c>
      <c r="V35" s="6">
        <f t="shared" si="18"/>
        <v>34.168131114415786</v>
      </c>
      <c r="W35" s="6">
        <f t="shared" si="19"/>
        <v>949.58831323598633</v>
      </c>
      <c r="Y35" s="6">
        <f t="shared" si="7"/>
        <v>50.411686764013638</v>
      </c>
      <c r="Z35" s="6">
        <f t="shared" si="8"/>
        <v>41.057476202929799</v>
      </c>
      <c r="AA35" s="6">
        <f t="shared" si="9"/>
        <v>8.7771853819083034</v>
      </c>
      <c r="AB35" s="6">
        <f t="shared" si="10"/>
        <v>7.1485225565523587</v>
      </c>
      <c r="AD35" s="6">
        <f>(U35*(cAsymp+cDrug)+'Markov Model'!V35*cProg)/((1+cDR)^$A35)</f>
        <v>22089.304744816429</v>
      </c>
      <c r="AE35">
        <f t="shared" si="20"/>
        <v>1129.4163224344024</v>
      </c>
      <c r="AF35" s="6">
        <f t="shared" si="11"/>
        <v>23218.72106725083</v>
      </c>
    </row>
    <row r="36" spans="1:32" x14ac:dyDescent="0.2">
      <c r="A36">
        <v>31</v>
      </c>
      <c r="C36">
        <f t="shared" si="0"/>
        <v>0.1958</v>
      </c>
      <c r="E36" s="6">
        <f t="shared" si="12"/>
        <v>0.39722438507533298</v>
      </c>
      <c r="F36" s="6">
        <f t="shared" si="13"/>
        <v>11.388013762140735</v>
      </c>
      <c r="G36" s="6">
        <f t="shared" si="14"/>
        <v>988.21476185278391</v>
      </c>
      <c r="I36" s="6">
        <f t="shared" si="15"/>
        <v>11.785238147216068</v>
      </c>
      <c r="J36" s="6">
        <f t="shared" si="1"/>
        <v>8.9183734874271181</v>
      </c>
      <c r="K36" s="6">
        <f t="shared" si="16"/>
        <v>1.9357824119101794</v>
      </c>
      <c r="L36" s="6">
        <f t="shared" si="2"/>
        <v>1.4648860145338349</v>
      </c>
      <c r="N36" s="6">
        <f>(E36*cAsymp+'Markov Model'!F36*cProg)/((1+cDR)^$A36)</f>
        <v>5644.2321657155326</v>
      </c>
      <c r="O36" s="6"/>
      <c r="P36" s="6">
        <f t="shared" si="4"/>
        <v>2553.9997578807897</v>
      </c>
      <c r="Q36">
        <f t="shared" si="5"/>
        <v>444.67723219035253</v>
      </c>
      <c r="R36" s="6">
        <f t="shared" si="6"/>
        <v>6088.9093979058853</v>
      </c>
      <c r="U36" s="6">
        <f t="shared" si="17"/>
        <v>10.545316327718979</v>
      </c>
      <c r="V36" s="6">
        <f t="shared" si="18"/>
        <v>24.870542500738473</v>
      </c>
      <c r="W36" s="6">
        <f t="shared" si="19"/>
        <v>964.58414117154257</v>
      </c>
      <c r="Y36" s="6">
        <f t="shared" si="7"/>
        <v>35.415858828457452</v>
      </c>
      <c r="Z36" s="6">
        <f t="shared" si="8"/>
        <v>28.670957386886883</v>
      </c>
      <c r="AA36" s="6">
        <f t="shared" si="9"/>
        <v>5.8172262423917624</v>
      </c>
      <c r="AB36" s="6">
        <f t="shared" si="10"/>
        <v>4.7093435320415953</v>
      </c>
      <c r="AD36" s="6">
        <f>(U36*(cAsymp+cDrug)+'Markov Model'!V36*cProg)/((1+cDR)^$A36)</f>
        <v>14853.499850316985</v>
      </c>
      <c r="AE36">
        <f t="shared" si="20"/>
        <v>892.35266719539732</v>
      </c>
      <c r="AF36" s="6">
        <f t="shared" si="11"/>
        <v>15745.852517512381</v>
      </c>
    </row>
    <row r="37" spans="1:32" x14ac:dyDescent="0.2">
      <c r="A37">
        <v>32</v>
      </c>
      <c r="C37">
        <f t="shared" si="0"/>
        <v>0.1958</v>
      </c>
      <c r="E37" s="6">
        <f t="shared" si="12"/>
        <v>0.1923360472535478</v>
      </c>
      <c r="F37" s="6">
        <f t="shared" si="13"/>
        <v>7.5771504064165764</v>
      </c>
      <c r="G37" s="6">
        <f t="shared" si="14"/>
        <v>992.23051354632992</v>
      </c>
      <c r="I37" s="6">
        <f t="shared" si="15"/>
        <v>7.7694864536701242</v>
      </c>
      <c r="J37" s="6">
        <f t="shared" si="1"/>
        <v>5.8655820497033027</v>
      </c>
      <c r="K37" s="6">
        <f t="shared" si="16"/>
        <v>1.2039393944080679</v>
      </c>
      <c r="L37" s="6">
        <f t="shared" si="2"/>
        <v>0.90891532444011081</v>
      </c>
      <c r="N37" s="6">
        <f>(E37*cAsymp+'Markov Model'!F37*cProg)/((1+cDR)^$A37)</f>
        <v>3537.308450298453</v>
      </c>
      <c r="O37" s="6"/>
      <c r="P37" s="6">
        <f t="shared" si="4"/>
        <v>1708.2020643211101</v>
      </c>
      <c r="Q37">
        <f t="shared" si="5"/>
        <v>280.5804575856265</v>
      </c>
      <c r="R37" s="6">
        <f t="shared" si="6"/>
        <v>3817.8889078840793</v>
      </c>
      <c r="U37" s="6">
        <f t="shared" si="17"/>
        <v>6.7932927783165269</v>
      </c>
      <c r="V37" s="6">
        <f t="shared" si="18"/>
        <v>17.957559516418147</v>
      </c>
      <c r="W37" s="6">
        <f t="shared" si="19"/>
        <v>975.24914770526527</v>
      </c>
      <c r="Y37" s="6">
        <f t="shared" si="7"/>
        <v>24.750852294734674</v>
      </c>
      <c r="Z37" s="6">
        <f t="shared" si="8"/>
        <v>19.92179777671431</v>
      </c>
      <c r="AA37" s="6">
        <f t="shared" si="9"/>
        <v>3.8353276372250149</v>
      </c>
      <c r="AB37" s="6">
        <f t="shared" si="10"/>
        <v>3.0870299206825482</v>
      </c>
      <c r="AD37" s="6">
        <f>(U37*(cAsymp+cDrug)+'Markov Model'!V37*cProg)/((1+cDR)^$A37)</f>
        <v>9926.97646594664</v>
      </c>
      <c r="AE37">
        <f t="shared" si="20"/>
        <v>612.76604867293418</v>
      </c>
      <c r="AF37" s="6">
        <f t="shared" si="11"/>
        <v>10539.742514619575</v>
      </c>
    </row>
    <row r="38" spans="1:32" x14ac:dyDescent="0.2">
      <c r="A38">
        <v>33</v>
      </c>
      <c r="C38">
        <f t="shared" si="0"/>
        <v>0.1958</v>
      </c>
      <c r="E38" s="6">
        <f t="shared" si="12"/>
        <v>9.1205753607596307E-2</v>
      </c>
      <c r="F38" s="6">
        <f t="shared" si="13"/>
        <v>5.0204426914713949</v>
      </c>
      <c r="G38" s="6">
        <f t="shared" si="14"/>
        <v>994.88835155492097</v>
      </c>
      <c r="I38" s="6">
        <f t="shared" si="15"/>
        <v>5.1116484450789912</v>
      </c>
      <c r="J38" s="6">
        <f t="shared" si="1"/>
        <v>3.8519774845307628</v>
      </c>
      <c r="K38" s="6">
        <f t="shared" si="16"/>
        <v>0.74725258094084657</v>
      </c>
      <c r="L38" s="6">
        <f t="shared" si="2"/>
        <v>0.56310604063796521</v>
      </c>
      <c r="N38" s="6">
        <f>(E38*cAsymp+'Markov Model'!F38*cProg)/((1+cDR)^$A38)</f>
        <v>2208.4251811684107</v>
      </c>
      <c r="O38" s="6"/>
      <c r="P38" s="6">
        <f t="shared" si="4"/>
        <v>1136.5725609624865</v>
      </c>
      <c r="Q38">
        <f t="shared" si="5"/>
        <v>176.12032518566517</v>
      </c>
      <c r="R38" s="6">
        <f t="shared" si="6"/>
        <v>2384.5455063540758</v>
      </c>
      <c r="U38" s="6">
        <f t="shared" si="17"/>
        <v>4.3422727438999118</v>
      </c>
      <c r="V38" s="6">
        <f t="shared" si="18"/>
        <v>12.868728744062979</v>
      </c>
      <c r="W38" s="6">
        <f t="shared" si="19"/>
        <v>982.7889985120371</v>
      </c>
      <c r="Y38" s="6">
        <f t="shared" si="7"/>
        <v>17.211001487962889</v>
      </c>
      <c r="Z38" s="6">
        <f t="shared" si="8"/>
        <v>13.77670566475215</v>
      </c>
      <c r="AA38" s="6">
        <f t="shared" si="9"/>
        <v>2.516011306457965</v>
      </c>
      <c r="AB38" s="6">
        <f t="shared" si="10"/>
        <v>2.0139645704232971</v>
      </c>
      <c r="AD38" s="6">
        <f>(U38*(cAsymp+cDrug)+'Markov Model'!V38*cProg)/((1+cDR)^$A38)</f>
        <v>6595.8632400252236</v>
      </c>
      <c r="AE38">
        <f t="shared" si="20"/>
        <v>417.39850101091179</v>
      </c>
      <c r="AF38" s="6">
        <f t="shared" si="11"/>
        <v>7013.2617410361354</v>
      </c>
    </row>
    <row r="39" spans="1:32" x14ac:dyDescent="0.2">
      <c r="A39">
        <v>34</v>
      </c>
      <c r="C39">
        <f t="shared" si="0"/>
        <v>0.1958</v>
      </c>
      <c r="E39" s="6">
        <f t="shared" si="12"/>
        <v>4.2337710824654096E-2</v>
      </c>
      <c r="F39" s="6">
        <f t="shared" si="13"/>
        <v>3.3153835649871692</v>
      </c>
      <c r="G39" s="6">
        <f t="shared" si="14"/>
        <v>996.64227872418815</v>
      </c>
      <c r="I39" s="6">
        <f t="shared" si="15"/>
        <v>3.3577212758118233</v>
      </c>
      <c r="J39" s="6">
        <f t="shared" si="1"/>
        <v>2.5267584990237983</v>
      </c>
      <c r="K39" s="6">
        <f t="shared" si="16"/>
        <v>0.46306848316108551</v>
      </c>
      <c r="L39" s="6">
        <f t="shared" si="2"/>
        <v>0.34846913407797259</v>
      </c>
      <c r="N39" s="6">
        <f>(E39*cAsymp+'Markov Model'!F39*cProg)/((1+cDR)^$A39)</f>
        <v>1374.6083031437756</v>
      </c>
      <c r="O39" s="6"/>
      <c r="P39" s="6">
        <f t="shared" si="4"/>
        <v>753.06640372070922</v>
      </c>
      <c r="Q39">
        <f t="shared" si="5"/>
        <v>110.08793344187923</v>
      </c>
      <c r="R39" s="6">
        <f t="shared" si="6"/>
        <v>1484.6962365856548</v>
      </c>
      <c r="U39" s="6">
        <f t="shared" si="17"/>
        <v>2.7538693741813631</v>
      </c>
      <c r="V39" s="6">
        <f t="shared" si="18"/>
        <v>9.1569087108289864</v>
      </c>
      <c r="W39" s="6">
        <f t="shared" si="19"/>
        <v>988.08922191498971</v>
      </c>
      <c r="Y39" s="6">
        <f t="shared" si="7"/>
        <v>11.91077808501035</v>
      </c>
      <c r="Z39" s="6">
        <f t="shared" si="8"/>
        <v>9.4838574385940344</v>
      </c>
      <c r="AA39" s="6">
        <f t="shared" si="9"/>
        <v>1.6426336458676167</v>
      </c>
      <c r="AB39" s="6">
        <f t="shared" si="10"/>
        <v>1.3079333029344153</v>
      </c>
      <c r="AD39" s="6">
        <f>(U39*(cAsymp+cDrug)+'Markov Model'!V39*cProg)/((1+cDR)^$A39)</f>
        <v>4358.2154236000797</v>
      </c>
      <c r="AE39">
        <f t="shared" si="20"/>
        <v>282.18462803382749</v>
      </c>
      <c r="AF39" s="6">
        <f t="shared" si="11"/>
        <v>4640.4000516339074</v>
      </c>
    </row>
    <row r="40" spans="1:32" x14ac:dyDescent="0.2">
      <c r="A40">
        <v>35</v>
      </c>
      <c r="C40">
        <f t="shared" si="0"/>
        <v>0.1958</v>
      </c>
      <c r="E40" s="6">
        <f t="shared" si="12"/>
        <v>1.9229788256552638E-2</v>
      </c>
      <c r="F40" s="6">
        <f t="shared" si="13"/>
        <v>2.1837421270032351</v>
      </c>
      <c r="G40" s="6">
        <f t="shared" si="14"/>
        <v>997.79702808474019</v>
      </c>
      <c r="I40" s="6">
        <f t="shared" si="15"/>
        <v>2.2029719152597877</v>
      </c>
      <c r="J40" s="6">
        <f t="shared" si="1"/>
        <v>1.6560748940961514</v>
      </c>
      <c r="K40" s="6">
        <f t="shared" si="16"/>
        <v>0.28661814194750018</v>
      </c>
      <c r="L40" s="6">
        <f t="shared" si="2"/>
        <v>0.21546398562042821</v>
      </c>
      <c r="N40" s="6">
        <f>(E40*cAsymp+'Markov Model'!F40*cProg)/((1+cDR)^$A40)</f>
        <v>853.59968634496261</v>
      </c>
      <c r="O40" s="6"/>
      <c r="P40" s="6">
        <f t="shared" si="4"/>
        <v>497.3075347480754</v>
      </c>
      <c r="Q40">
        <f t="shared" si="5"/>
        <v>68.584443693793986</v>
      </c>
      <c r="R40" s="6">
        <f t="shared" si="6"/>
        <v>922.18413003875662</v>
      </c>
      <c r="U40" s="6">
        <f t="shared" si="17"/>
        <v>1.7327346102348429</v>
      </c>
      <c r="V40" s="6">
        <f t="shared" si="18"/>
        <v>6.4723768191060618</v>
      </c>
      <c r="W40" s="6">
        <f t="shared" si="19"/>
        <v>991.79488857065905</v>
      </c>
      <c r="Y40" s="6">
        <f t="shared" si="7"/>
        <v>8.2051114293409046</v>
      </c>
      <c r="Z40" s="6">
        <f t="shared" si="8"/>
        <v>6.5003804940526475</v>
      </c>
      <c r="AA40" s="6">
        <f t="shared" si="9"/>
        <v>1.0675278137045869</v>
      </c>
      <c r="AB40" s="6">
        <f t="shared" si="10"/>
        <v>0.84573342322316081</v>
      </c>
      <c r="AD40" s="6">
        <f>(U40*(cAsymp+cDrug)+'Markov Model'!V40*cProg)/((1+cDR)^$A40)</f>
        <v>2864.4267190283563</v>
      </c>
      <c r="AE40">
        <f t="shared" si="20"/>
        <v>189.42649547986548</v>
      </c>
      <c r="AF40" s="6">
        <f t="shared" si="11"/>
        <v>3053.8532145082218</v>
      </c>
    </row>
    <row r="41" spans="1:32" x14ac:dyDescent="0.2">
      <c r="A41">
        <v>36</v>
      </c>
      <c r="C41">
        <f t="shared" si="0"/>
        <v>0.1958</v>
      </c>
      <c r="E41" s="6">
        <f t="shared" si="12"/>
        <v>8.5418719436347601E-3</v>
      </c>
      <c r="F41" s="6">
        <f t="shared" si="13"/>
        <v>1.4355268232578755</v>
      </c>
      <c r="G41" s="6">
        <f t="shared" si="14"/>
        <v>998.55593130479849</v>
      </c>
      <c r="I41" s="6">
        <f t="shared" si="15"/>
        <v>1.4440686952015103</v>
      </c>
      <c r="J41" s="6">
        <f t="shared" si="1"/>
        <v>1.0847598957898597</v>
      </c>
      <c r="K41" s="6">
        <f t="shared" si="16"/>
        <v>0.1772461064452043</v>
      </c>
      <c r="L41" s="6">
        <f t="shared" si="2"/>
        <v>0.1331442670252112</v>
      </c>
      <c r="N41" s="6">
        <f>(E41*cAsymp+'Markov Model'!F41*cProg)/((1+cDR)^$A41)</f>
        <v>529.11722944426344</v>
      </c>
      <c r="O41" s="6"/>
      <c r="P41" s="6">
        <f t="shared" si="4"/>
        <v>327.56131905048522</v>
      </c>
      <c r="Q41">
        <f t="shared" si="5"/>
        <v>42.617436922272745</v>
      </c>
      <c r="R41" s="6">
        <f t="shared" si="6"/>
        <v>571.7346663665362</v>
      </c>
      <c r="U41" s="6">
        <f t="shared" si="17"/>
        <v>1.0815729437085793</v>
      </c>
      <c r="V41" s="6">
        <f t="shared" si="18"/>
        <v>4.5461211449014574</v>
      </c>
      <c r="W41" s="6">
        <f t="shared" si="19"/>
        <v>994.37230591138996</v>
      </c>
      <c r="Y41" s="6">
        <f t="shared" si="7"/>
        <v>5.6276940886100366</v>
      </c>
      <c r="Z41" s="6">
        <f t="shared" si="8"/>
        <v>4.4370851551992434</v>
      </c>
      <c r="AA41" s="6">
        <f t="shared" si="9"/>
        <v>0.69074751691894332</v>
      </c>
      <c r="AB41" s="6">
        <f t="shared" si="10"/>
        <v>0.54461125730250404</v>
      </c>
      <c r="AD41" s="6">
        <f>(U41*(cAsymp+cDrug)+'Markov Model'!V41*cProg)/((1+cDR)^$A41)</f>
        <v>1873.1129036571058</v>
      </c>
      <c r="AE41">
        <f t="shared" si="20"/>
        <v>126.31349984714758</v>
      </c>
      <c r="AF41" s="6">
        <f t="shared" si="11"/>
        <v>1999.4264035042534</v>
      </c>
    </row>
    <row r="42" spans="1:32" x14ac:dyDescent="0.2">
      <c r="A42">
        <v>37</v>
      </c>
      <c r="C42">
        <f t="shared" si="0"/>
        <v>0.1958</v>
      </c>
      <c r="E42" s="6">
        <f t="shared" si="12"/>
        <v>3.7088807978307159E-3</v>
      </c>
      <c r="F42" s="6">
        <f t="shared" si="13"/>
        <v>0.94228214039444702</v>
      </c>
      <c r="G42" s="6">
        <f t="shared" si="14"/>
        <v>999.0540089788077</v>
      </c>
      <c r="I42" s="6">
        <f t="shared" si="15"/>
        <v>0.94599102119227774</v>
      </c>
      <c r="J42" s="6">
        <f t="shared" si="1"/>
        <v>0.71023504205377452</v>
      </c>
      <c r="K42" s="6">
        <f t="shared" si="16"/>
        <v>0.10953930965086972</v>
      </c>
      <c r="L42" s="6">
        <f t="shared" si="2"/>
        <v>8.2240374859344351E-2</v>
      </c>
      <c r="N42" s="6">
        <f>(E42*cAsymp+'Markov Model'!F42*cProg)/((1+cDR)^$A42)</f>
        <v>327.54427118770855</v>
      </c>
      <c r="O42" s="6"/>
      <c r="P42" s="6">
        <f t="shared" si="4"/>
        <v>215.32902348868132</v>
      </c>
      <c r="Q42">
        <f t="shared" si="5"/>
        <v>26.429650573299675</v>
      </c>
      <c r="R42" s="6">
        <f t="shared" si="6"/>
        <v>353.97392176100823</v>
      </c>
      <c r="U42" s="6">
        <f t="shared" si="17"/>
        <v>0.66970996674433536</v>
      </c>
      <c r="V42" s="6">
        <f t="shared" si="18"/>
        <v>3.1741634475806206</v>
      </c>
      <c r="W42" s="6">
        <f t="shared" si="19"/>
        <v>996.156126585675</v>
      </c>
      <c r="Y42" s="6">
        <f t="shared" si="7"/>
        <v>3.843873414324956</v>
      </c>
      <c r="Z42" s="6">
        <f t="shared" si="8"/>
        <v>3.016847054092584</v>
      </c>
      <c r="AA42" s="6">
        <f t="shared" si="9"/>
        <v>0.44509433045126701</v>
      </c>
      <c r="AB42" s="6">
        <f t="shared" si="10"/>
        <v>0.34933031733331138</v>
      </c>
      <c r="AD42" s="6">
        <f>(U42*(cAsymp+cDrug)+'Markov Model'!V42*cProg)/((1+cDR)^$A42)</f>
        <v>1218.9612201423424</v>
      </c>
      <c r="AE42">
        <f t="shared" si="20"/>
        <v>83.699162827869088</v>
      </c>
      <c r="AF42" s="6">
        <f t="shared" si="11"/>
        <v>1302.6603829702115</v>
      </c>
    </row>
    <row r="43" spans="1:32" x14ac:dyDescent="0.2">
      <c r="A43">
        <v>38</v>
      </c>
      <c r="C43">
        <f t="shared" si="0"/>
        <v>0.1958</v>
      </c>
      <c r="E43" s="6">
        <f t="shared" si="12"/>
        <v>1.5733072344801258E-3</v>
      </c>
      <c r="F43" s="6">
        <f t="shared" si="13"/>
        <v>0.61785035094922292</v>
      </c>
      <c r="G43" s="6">
        <f t="shared" si="14"/>
        <v>999.38057634181632</v>
      </c>
      <c r="I43" s="6">
        <f t="shared" si="15"/>
        <v>0.61942365818370304</v>
      </c>
      <c r="J43" s="6">
        <f t="shared" si="1"/>
        <v>0.46488240508467332</v>
      </c>
      <c r="K43" s="6">
        <f t="shared" si="16"/>
        <v>6.7665128150469503E-2</v>
      </c>
      <c r="L43" s="6">
        <f t="shared" si="2"/>
        <v>5.0783219367484769E-2</v>
      </c>
      <c r="N43" s="6">
        <f>(E43*cAsymp+'Markov Model'!F43*cProg)/((1+cDR)^$A43)</f>
        <v>202.56571876850043</v>
      </c>
      <c r="O43" s="6"/>
      <c r="P43" s="6">
        <f t="shared" si="4"/>
        <v>141.34232105916706</v>
      </c>
      <c r="Q43">
        <f t="shared" si="5"/>
        <v>16.366476981736422</v>
      </c>
      <c r="R43" s="6">
        <f t="shared" si="6"/>
        <v>218.93219575023684</v>
      </c>
      <c r="U43" s="6">
        <f t="shared" si="17"/>
        <v>0.41133586157445734</v>
      </c>
      <c r="V43" s="6">
        <f t="shared" si="18"/>
        <v>2.2037826210886657</v>
      </c>
      <c r="W43" s="6">
        <f t="shared" si="19"/>
        <v>997.38488151733691</v>
      </c>
      <c r="Y43" s="6">
        <f t="shared" si="7"/>
        <v>2.6151184826631231</v>
      </c>
      <c r="Z43" s="6">
        <f t="shared" si="8"/>
        <v>2.043606034312234</v>
      </c>
      <c r="AA43" s="6">
        <f t="shared" si="9"/>
        <v>0.28567253594563652</v>
      </c>
      <c r="AB43" s="6">
        <f t="shared" si="10"/>
        <v>0.22324117326464787</v>
      </c>
      <c r="AD43" s="6">
        <f>(U43*(cAsymp+cDrug)+'Markov Model'!V43*cProg)/((1+cDR)^$A43)</f>
        <v>789.61682304625583</v>
      </c>
      <c r="AE43">
        <f t="shared" si="20"/>
        <v>55.131972446544204</v>
      </c>
      <c r="AF43" s="6">
        <f t="shared" si="11"/>
        <v>844.74879549280001</v>
      </c>
    </row>
    <row r="44" spans="1:32" x14ac:dyDescent="0.2">
      <c r="A44">
        <v>39</v>
      </c>
      <c r="C44">
        <f t="shared" si="0"/>
        <v>0.1958</v>
      </c>
      <c r="E44" s="6">
        <f t="shared" si="12"/>
        <v>6.5166385650172742E-4</v>
      </c>
      <c r="F44" s="6">
        <f t="shared" si="13"/>
        <v>0.40481128941242889</v>
      </c>
      <c r="G44" s="6">
        <f t="shared" si="14"/>
        <v>999.59453704673103</v>
      </c>
      <c r="I44" s="6">
        <f t="shared" si="15"/>
        <v>0.40546295326893061</v>
      </c>
      <c r="J44" s="6">
        <f t="shared" si="1"/>
        <v>0.30422754772299831</v>
      </c>
      <c r="K44" s="6">
        <f t="shared" si="16"/>
        <v>4.1785195072650418E-2</v>
      </c>
      <c r="L44" s="6">
        <f t="shared" si="2"/>
        <v>3.1352327815873104E-2</v>
      </c>
      <c r="N44" s="6">
        <f>(E44*cAsymp+'Markov Model'!F44*cProg)/((1+cDR)^$A44)</f>
        <v>125.18769132563516</v>
      </c>
      <c r="O44" s="6"/>
      <c r="P44" s="6">
        <f t="shared" si="4"/>
        <v>92.677552642383432</v>
      </c>
      <c r="Q44">
        <f t="shared" si="5"/>
        <v>10.123989281595941</v>
      </c>
      <c r="R44" s="6">
        <f t="shared" si="6"/>
        <v>135.3116806072311</v>
      </c>
      <c r="U44" s="6">
        <f t="shared" si="17"/>
        <v>0.25058580687118592</v>
      </c>
      <c r="V44" s="6">
        <f t="shared" si="18"/>
        <v>1.5219250837232243</v>
      </c>
      <c r="W44" s="6">
        <f t="shared" si="19"/>
        <v>998.22748910940561</v>
      </c>
      <c r="Y44" s="6">
        <f t="shared" si="7"/>
        <v>1.7725108905944102</v>
      </c>
      <c r="Z44" s="6">
        <f t="shared" si="8"/>
        <v>1.3795003293200447</v>
      </c>
      <c r="AA44" s="6">
        <f t="shared" si="9"/>
        <v>0.18266702971198456</v>
      </c>
      <c r="AB44" s="6">
        <f t="shared" si="10"/>
        <v>0.14216512235876458</v>
      </c>
      <c r="AD44" s="6">
        <f>(U44*(cAsymp+cDrug)+'Markov Model'!V44*cProg)/((1+cDR)^$A44)</f>
        <v>509.26471357513242</v>
      </c>
      <c r="AE44">
        <f t="shared" si="20"/>
        <v>36.110801912780119</v>
      </c>
      <c r="AF44" s="6">
        <f t="shared" si="11"/>
        <v>545.37551548791248</v>
      </c>
    </row>
    <row r="45" spans="1:32" x14ac:dyDescent="0.2">
      <c r="A45">
        <v>40</v>
      </c>
      <c r="C45">
        <f t="shared" si="0"/>
        <v>0.1958</v>
      </c>
      <c r="E45" s="6">
        <f t="shared" si="12"/>
        <v>2.6340253077705711E-4</v>
      </c>
      <c r="F45" s="6">
        <f t="shared" si="13"/>
        <v>0.26508821107621167</v>
      </c>
      <c r="G45" s="6">
        <f t="shared" si="14"/>
        <v>999.73464838639302</v>
      </c>
      <c r="I45" s="6">
        <f t="shared" si="15"/>
        <v>0.26535161360698872</v>
      </c>
      <c r="J45" s="6">
        <f t="shared" si="1"/>
        <v>0.19906639071139698</v>
      </c>
      <c r="K45" s="6">
        <f t="shared" si="16"/>
        <v>2.5798064386853507E-2</v>
      </c>
      <c r="L45" s="6">
        <f t="shared" si="2"/>
        <v>1.9353670004198152E-2</v>
      </c>
      <c r="N45" s="6">
        <f>(E45*cAsymp+'Markov Model'!F45*cProg)/((1+cDR)^$A45)</f>
        <v>77.330171734835261</v>
      </c>
      <c r="O45" s="6"/>
      <c r="P45" s="6">
        <f t="shared" si="4"/>
        <v>60.721693411864329</v>
      </c>
      <c r="Q45">
        <f t="shared" si="5"/>
        <v>6.2577056273585967</v>
      </c>
      <c r="R45" s="6">
        <f t="shared" si="6"/>
        <v>83.587877362193865</v>
      </c>
      <c r="U45" s="6">
        <f t="shared" si="17"/>
        <v>0.15140394451157135</v>
      </c>
      <c r="V45" s="6">
        <f t="shared" si="18"/>
        <v>1.0457605511459707</v>
      </c>
      <c r="W45" s="6">
        <f t="shared" si="19"/>
        <v>998.80283550434251</v>
      </c>
      <c r="Y45" s="6">
        <f t="shared" si="7"/>
        <v>1.197164495657542</v>
      </c>
      <c r="Z45" s="6">
        <f t="shared" si="8"/>
        <v>0.92815416064547074</v>
      </c>
      <c r="AA45" s="6">
        <f t="shared" si="9"/>
        <v>0.11639095131477598</v>
      </c>
      <c r="AB45" s="6">
        <f t="shared" si="10"/>
        <v>9.0237178028704415E-2</v>
      </c>
      <c r="AD45" s="6">
        <f>(U45*(cAsymp+cDrug)+'Markov Model'!V45*cProg)/((1+cDR)^$A45)</f>
        <v>327.09311987465975</v>
      </c>
      <c r="AE45">
        <f t="shared" si="20"/>
        <v>23.526416900715557</v>
      </c>
      <c r="AF45" s="6">
        <f t="shared" si="11"/>
        <v>350.61953677537531</v>
      </c>
    </row>
    <row r="46" spans="1:32" x14ac:dyDescent="0.2">
      <c r="A46">
        <v>41</v>
      </c>
      <c r="C46">
        <f t="shared" si="0"/>
        <v>0.1958</v>
      </c>
      <c r="E46" s="6">
        <f t="shared" si="12"/>
        <v>1.0383327753515914E-4</v>
      </c>
      <c r="F46" s="6">
        <f t="shared" si="13"/>
        <v>0.17352870272367626</v>
      </c>
      <c r="G46" s="6">
        <f t="shared" si="14"/>
        <v>999.82636746399874</v>
      </c>
      <c r="I46" s="6">
        <f t="shared" si="15"/>
        <v>0.17363253600121142</v>
      </c>
      <c r="J46" s="6">
        <f t="shared" si="1"/>
        <v>0.13024516865641561</v>
      </c>
      <c r="K46" s="6">
        <f t="shared" si="16"/>
        <v>1.5925410384352485E-2</v>
      </c>
      <c r="L46" s="6">
        <f t="shared" si="2"/>
        <v>1.1945962486075481E-2</v>
      </c>
      <c r="N46" s="6">
        <f>(E46*cAsymp+'Markov Model'!F46*cProg)/((1+cDR)^$A46)</f>
        <v>47.752422430418505</v>
      </c>
      <c r="O46" s="6"/>
      <c r="P46" s="6">
        <f t="shared" si="4"/>
        <v>39.763231661431746</v>
      </c>
      <c r="Q46">
        <f t="shared" si="5"/>
        <v>3.8658683724845102</v>
      </c>
      <c r="R46" s="6">
        <f t="shared" si="6"/>
        <v>51.618290802903019</v>
      </c>
      <c r="U46" s="6">
        <f t="shared" si="17"/>
        <v>9.0721243551229236E-2</v>
      </c>
      <c r="V46" s="6">
        <f t="shared" si="18"/>
        <v>0.71517436118456612</v>
      </c>
      <c r="W46" s="6">
        <f t="shared" si="19"/>
        <v>999.19410439526416</v>
      </c>
      <c r="Y46" s="6">
        <f t="shared" si="7"/>
        <v>0.80589560473579536</v>
      </c>
      <c r="Z46" s="6">
        <f t="shared" si="8"/>
        <v>0.62256595226209244</v>
      </c>
      <c r="AA46" s="6">
        <f t="shared" si="9"/>
        <v>7.3915975242531254E-2</v>
      </c>
      <c r="AB46" s="6">
        <f t="shared" si="10"/>
        <v>5.7101154595990272E-2</v>
      </c>
      <c r="AD46" s="6">
        <f>(U46*(cAsymp+cDrug)+'Markov Model'!V46*cProg)/((1+cDR)^$A46)</f>
        <v>209.26662699690507</v>
      </c>
      <c r="AE46">
        <f t="shared" si="20"/>
        <v>15.25066929024957</v>
      </c>
      <c r="AF46" s="6">
        <f t="shared" si="11"/>
        <v>224.51729628715464</v>
      </c>
    </row>
    <row r="47" spans="1:32" x14ac:dyDescent="0.2">
      <c r="A47">
        <v>42</v>
      </c>
      <c r="C47">
        <f t="shared" si="0"/>
        <v>0.1958</v>
      </c>
      <c r="E47" s="6">
        <f t="shared" si="12"/>
        <v>3.9892745235192706E-5</v>
      </c>
      <c r="F47" s="6">
        <f t="shared" si="13"/>
        <v>0.11356608729839379</v>
      </c>
      <c r="G47" s="6">
        <f t="shared" si="14"/>
        <v>999.88639401995636</v>
      </c>
      <c r="I47" s="6">
        <f t="shared" si="15"/>
        <v>0.11360598004362898</v>
      </c>
      <c r="J47" s="6">
        <f t="shared" si="1"/>
        <v>8.5212463581768774E-2</v>
      </c>
      <c r="K47" s="6">
        <f t="shared" si="16"/>
        <v>9.8300301856625461E-3</v>
      </c>
      <c r="L47" s="6">
        <f t="shared" si="2"/>
        <v>7.3732130023593098E-3</v>
      </c>
      <c r="N47" s="6">
        <f>(E47*cAsymp+'Markov Model'!F47*cProg)/((1+cDR)^$A47)</f>
        <v>29.481461018082637</v>
      </c>
      <c r="O47" s="6"/>
      <c r="P47" s="6">
        <f t="shared" si="4"/>
        <v>26.029305408551437</v>
      </c>
      <c r="Q47">
        <f t="shared" si="5"/>
        <v>2.3873830342945359</v>
      </c>
      <c r="R47" s="6">
        <f t="shared" si="6"/>
        <v>31.868844052377174</v>
      </c>
      <c r="U47" s="6">
        <f t="shared" si="17"/>
        <v>5.3906562918200507E-2</v>
      </c>
      <c r="V47" s="6">
        <f t="shared" si="18"/>
        <v>0.48691852823270126</v>
      </c>
      <c r="W47" s="6">
        <f t="shared" si="19"/>
        <v>999.45917490884915</v>
      </c>
      <c r="Y47" s="6">
        <f t="shared" si="7"/>
        <v>0.54082509115090183</v>
      </c>
      <c r="Z47" s="6">
        <f t="shared" si="8"/>
        <v>0.41640013094681638</v>
      </c>
      <c r="AA47" s="6">
        <f t="shared" si="9"/>
        <v>4.679618950635691E-2</v>
      </c>
      <c r="AB47" s="6">
        <f t="shared" si="10"/>
        <v>3.603002108647E-2</v>
      </c>
      <c r="AD47" s="6">
        <f>(U47*(cAsymp+cDrug)+'Markov Model'!V47*cProg)/((1+cDR)^$A47)</f>
        <v>133.39197634380329</v>
      </c>
      <c r="AE47">
        <f t="shared" si="20"/>
        <v>9.8392664133108205</v>
      </c>
      <c r="AF47" s="6">
        <f t="shared" si="11"/>
        <v>143.2312427571141</v>
      </c>
    </row>
    <row r="48" spans="1:32" x14ac:dyDescent="0.2">
      <c r="A48">
        <v>43</v>
      </c>
      <c r="C48">
        <f t="shared" si="0"/>
        <v>0.1958</v>
      </c>
      <c r="E48" s="6">
        <f t="shared" si="12"/>
        <v>1.4927865208846924E-5</v>
      </c>
      <c r="F48" s="6">
        <f t="shared" si="13"/>
        <v>7.431208819106036E-2</v>
      </c>
      <c r="G48" s="6">
        <f t="shared" si="14"/>
        <v>999.92567298394374</v>
      </c>
      <c r="I48" s="6">
        <f t="shared" si="15"/>
        <v>7.4327016056269207E-2</v>
      </c>
      <c r="J48" s="6">
        <f t="shared" si="1"/>
        <v>5.5748247615243676E-2</v>
      </c>
      <c r="K48" s="6">
        <f t="shared" si="16"/>
        <v>6.0672863394242499E-3</v>
      </c>
      <c r="L48" s="6">
        <f t="shared" si="2"/>
        <v>4.5507084657716345E-3</v>
      </c>
      <c r="N48" s="6">
        <f>(E48*cAsymp+'Markov Model'!F48*cProg)/((1+cDR)^$A48)</f>
        <v>18.198812628229668</v>
      </c>
      <c r="O48" s="6"/>
      <c r="P48" s="6">
        <f t="shared" si="4"/>
        <v>17.034913094759066</v>
      </c>
      <c r="Q48">
        <f t="shared" si="5"/>
        <v>1.4739867555150816</v>
      </c>
      <c r="R48" s="6">
        <f t="shared" si="6"/>
        <v>19.672799383744749</v>
      </c>
      <c r="U48" s="6">
        <f t="shared" si="17"/>
        <v>3.1761746871325158E-2</v>
      </c>
      <c r="V48" s="6">
        <f t="shared" si="18"/>
        <v>0.33013201219724631</v>
      </c>
      <c r="W48" s="6">
        <f t="shared" si="19"/>
        <v>999.63810624093139</v>
      </c>
      <c r="Y48" s="6">
        <f t="shared" si="7"/>
        <v>0.36189375906857146</v>
      </c>
      <c r="Z48" s="6">
        <f t="shared" si="8"/>
        <v>0.27777266867569361</v>
      </c>
      <c r="AA48" s="6">
        <f t="shared" si="9"/>
        <v>2.9541251313753424E-2</v>
      </c>
      <c r="AB48" s="6">
        <f t="shared" si="10"/>
        <v>2.2674478373322281E-2</v>
      </c>
      <c r="AD48" s="6">
        <f>(U48*(cAsymp+cDrug)+'Markov Model'!V48*cProg)/((1+cDR)^$A48)</f>
        <v>84.734704781206148</v>
      </c>
      <c r="AE48">
        <f t="shared" si="20"/>
        <v>6.3197692084267922</v>
      </c>
      <c r="AF48" s="6">
        <f t="shared" si="11"/>
        <v>91.054473989632939</v>
      </c>
    </row>
    <row r="49" spans="1:32" x14ac:dyDescent="0.2">
      <c r="A49">
        <v>44</v>
      </c>
      <c r="C49">
        <f t="shared" si="0"/>
        <v>0.1958</v>
      </c>
      <c r="E49" s="6">
        <f t="shared" si="12"/>
        <v>5.4367285429179901E-6</v>
      </c>
      <c r="F49" s="6">
        <f t="shared" si="13"/>
        <v>4.862153635528358E-2</v>
      </c>
      <c r="G49" s="6">
        <f t="shared" si="14"/>
        <v>999.95137302691614</v>
      </c>
      <c r="I49" s="6">
        <f t="shared" si="15"/>
        <v>4.8626973083826498E-2</v>
      </c>
      <c r="J49" s="6">
        <f t="shared" si="1"/>
        <v>3.6471317158578459E-2</v>
      </c>
      <c r="K49" s="6">
        <f t="shared" si="16"/>
        <v>3.744718402506314E-3</v>
      </c>
      <c r="L49" s="6">
        <f t="shared" si="2"/>
        <v>2.8086225373711018E-3</v>
      </c>
      <c r="N49" s="6">
        <f>(E49*cAsymp+'Markov Model'!F49*cProg)/((1+cDR)^$A49)</f>
        <v>11.233108513876866</v>
      </c>
      <c r="O49" s="6"/>
      <c r="P49" s="6">
        <f t="shared" si="4"/>
        <v>11.146813228659054</v>
      </c>
      <c r="Q49">
        <f t="shared" si="5"/>
        <v>0.90991016751105247</v>
      </c>
      <c r="R49" s="6">
        <f t="shared" si="6"/>
        <v>12.143018681387918</v>
      </c>
      <c r="U49" s="6">
        <f t="shared" si="17"/>
        <v>1.855521252230119E-2</v>
      </c>
      <c r="V49" s="6">
        <f t="shared" si="18"/>
        <v>0.22295994669113006</v>
      </c>
      <c r="W49" s="6">
        <f t="shared" si="19"/>
        <v>999.75848484078654</v>
      </c>
      <c r="Y49" s="6">
        <f t="shared" si="7"/>
        <v>0.24151515921343125</v>
      </c>
      <c r="Z49" s="6">
        <f t="shared" si="8"/>
        <v>0.18484741191453369</v>
      </c>
      <c r="AA49" s="6">
        <f t="shared" si="9"/>
        <v>1.8598859929687604E-2</v>
      </c>
      <c r="AB49" s="6">
        <f t="shared" si="10"/>
        <v>1.4234928911959108E-2</v>
      </c>
      <c r="AD49" s="6">
        <f>(U49*(cAsymp+cDrug)+'Markov Model'!V49*cProg)/((1+cDR)^$A49)</f>
        <v>53.653200053862278</v>
      </c>
      <c r="AE49">
        <f t="shared" si="20"/>
        <v>4.042282781057601</v>
      </c>
      <c r="AF49" s="6">
        <f t="shared" si="11"/>
        <v>57.695482834919879</v>
      </c>
    </row>
    <row r="50" spans="1:32" x14ac:dyDescent="0.2">
      <c r="A50">
        <v>45</v>
      </c>
      <c r="C50">
        <f t="shared" si="0"/>
        <v>0.1958</v>
      </c>
      <c r="E50" s="6">
        <f t="shared" si="12"/>
        <v>1.9256892755947774E-6</v>
      </c>
      <c r="F50" s="6">
        <f t="shared" si="13"/>
        <v>3.1810655611470832E-2</v>
      </c>
      <c r="G50" s="6">
        <f t="shared" si="14"/>
        <v>999.96818741869924</v>
      </c>
      <c r="I50" s="6">
        <f t="shared" si="15"/>
        <v>3.1812581300746427E-2</v>
      </c>
      <c r="J50" s="6">
        <f t="shared" si="1"/>
        <v>2.3859821113414937E-2</v>
      </c>
      <c r="K50" s="6">
        <f t="shared" si="16"/>
        <v>2.3111863967359755E-3</v>
      </c>
      <c r="L50" s="6">
        <f t="shared" si="2"/>
        <v>1.7334177778457903E-3</v>
      </c>
      <c r="N50" s="6">
        <f>(E50*cAsymp+'Markov Model'!F50*cProg)/((1+cDR)^$A50)</f>
        <v>6.9332094365353125</v>
      </c>
      <c r="O50" s="6"/>
      <c r="P50" s="6">
        <f t="shared" si="4"/>
        <v>7.2932304532925363</v>
      </c>
      <c r="Q50">
        <f t="shared" si="5"/>
        <v>0.56164495875742249</v>
      </c>
      <c r="R50" s="6">
        <f t="shared" si="6"/>
        <v>7.4948543952927347</v>
      </c>
      <c r="U50" s="6">
        <f t="shared" si="17"/>
        <v>1.0747179092959414E-2</v>
      </c>
      <c r="V50" s="6">
        <f t="shared" si="18"/>
        <v>0.15003531994285507</v>
      </c>
      <c r="W50" s="6">
        <f t="shared" si="19"/>
        <v>999.8392175009642</v>
      </c>
      <c r="Y50" s="6">
        <f t="shared" si="7"/>
        <v>0.16078249903581449</v>
      </c>
      <c r="Z50" s="6">
        <f t="shared" si="8"/>
        <v>0.12273631009545274</v>
      </c>
      <c r="AA50" s="6">
        <f t="shared" si="9"/>
        <v>1.1680860508985815E-2</v>
      </c>
      <c r="AB50" s="6">
        <f t="shared" si="10"/>
        <v>8.9168020537686767E-3</v>
      </c>
      <c r="AD50" s="6">
        <f>(U50*(cAsymp+cDrug)+'Markov Model'!V50*cProg)/((1+cDR)^$A50)</f>
        <v>33.87140648673757</v>
      </c>
      <c r="AE50">
        <f t="shared" si="20"/>
        <v>2.5754910159330877</v>
      </c>
      <c r="AF50" s="6">
        <f t="shared" si="11"/>
        <v>36.446897502670659</v>
      </c>
    </row>
    <row r="52" spans="1:32" x14ac:dyDescent="0.2">
      <c r="H52" t="s">
        <v>51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Q52" s="6">
        <f>SUM(Q5:Q50)</f>
        <v>282158.76254920464</v>
      </c>
      <c r="R52">
        <f>SUM(R5:R50)</f>
        <v>9264896.806732703</v>
      </c>
      <c r="X52" t="s">
        <v>51</v>
      </c>
      <c r="Y52" s="6">
        <f>SUM(Y5:Y50)</f>
        <v>15860.229143787126</v>
      </c>
      <c r="Z52" s="6">
        <f>SUM(Z6:Z50)</f>
        <v>14446.439325758052</v>
      </c>
      <c r="AA52" s="6">
        <f>SUM(AA5:AA50)</f>
        <v>9350.4181283309372</v>
      </c>
      <c r="AB52" s="6">
        <f>SUM(AB5:AB50)</f>
        <v>8624.7378423777318</v>
      </c>
      <c r="AD52">
        <f>SUM(AD5:AD50)</f>
        <v>15961822.539021384</v>
      </c>
      <c r="AE52" s="6">
        <f>SUM(AE5:AE50)</f>
        <v>193617.89964092497</v>
      </c>
      <c r="AF52">
        <f>SUM(AF5:AF50)</f>
        <v>16155440.438662307</v>
      </c>
    </row>
    <row r="53" spans="1:32" x14ac:dyDescent="0.2">
      <c r="H53" t="s">
        <v>52</v>
      </c>
      <c r="I53" s="8">
        <f>I52/1000</f>
        <v>13.693245079326404</v>
      </c>
      <c r="J53" s="8">
        <f t="shared" ref="J53:R53" si="21">J52/1000</f>
        <v>12.202612124349125</v>
      </c>
      <c r="K53" s="8">
        <f t="shared" si="21"/>
        <v>8.560172448161028</v>
      </c>
      <c r="L53" s="8">
        <f t="shared" si="21"/>
        <v>7.7559516801447357</v>
      </c>
      <c r="M53" s="6"/>
      <c r="N53" s="6">
        <f t="shared" si="21"/>
        <v>8982.7380441834939</v>
      </c>
      <c r="O53" s="6"/>
      <c r="P53" s="6"/>
      <c r="Q53" s="6">
        <f t="shared" si="21"/>
        <v>282.15876254920465</v>
      </c>
      <c r="R53" s="6">
        <f t="shared" si="21"/>
        <v>9264.8968067327023</v>
      </c>
      <c r="X53" t="s">
        <v>52</v>
      </c>
      <c r="Y53" s="8">
        <f>Y52/1000</f>
        <v>15.860229143787127</v>
      </c>
      <c r="Z53" s="8">
        <f>Z52/1000</f>
        <v>14.446439325758051</v>
      </c>
      <c r="AA53" s="8">
        <f>AA52/1000</f>
        <v>9.3504181283309364</v>
      </c>
      <c r="AB53" s="8">
        <f>AB52/1000</f>
        <v>8.6247378423777317</v>
      </c>
      <c r="AC53" s="6"/>
      <c r="AD53" s="6">
        <f>AD52/1000</f>
        <v>15961.822539021385</v>
      </c>
      <c r="AE53" s="6">
        <f>AE52/1000</f>
        <v>193.61789964092497</v>
      </c>
      <c r="AF53" s="6">
        <f>AF52/1000</f>
        <v>16155.440438662308</v>
      </c>
    </row>
    <row r="59" spans="1:32" x14ac:dyDescent="0.2">
      <c r="A59" t="s">
        <v>29</v>
      </c>
      <c r="B59" t="s">
        <v>30</v>
      </c>
      <c r="C59" t="s">
        <v>31</v>
      </c>
    </row>
    <row r="60" spans="1:32" x14ac:dyDescent="0.2">
      <c r="A60" t="s">
        <v>53</v>
      </c>
      <c r="B60" s="5">
        <f>R53</f>
        <v>9264.8968067327023</v>
      </c>
      <c r="C60" s="8">
        <f>L53</f>
        <v>7.7559516801447357</v>
      </c>
    </row>
    <row r="61" spans="1:32" x14ac:dyDescent="0.2">
      <c r="A61" t="s">
        <v>54</v>
      </c>
      <c r="B61" s="5">
        <f>AF53</f>
        <v>16155.440438662308</v>
      </c>
      <c r="C61" s="8">
        <f>AB53</f>
        <v>8.6247378423777317</v>
      </c>
    </row>
    <row r="62" spans="1:32" x14ac:dyDescent="0.2">
      <c r="A62" t="s">
        <v>56</v>
      </c>
      <c r="B62" s="5">
        <f>B61-B60</f>
        <v>6890.5436319296059</v>
      </c>
      <c r="C62" s="8">
        <f>C61-C60</f>
        <v>0.86878616223299598</v>
      </c>
    </row>
    <row r="63" spans="1:32" x14ac:dyDescent="0.2">
      <c r="A63" t="s">
        <v>55</v>
      </c>
      <c r="B63" s="5">
        <f>B62/C62</f>
        <v>7931.2308729908855</v>
      </c>
    </row>
    <row r="69" spans="1:9" x14ac:dyDescent="0.2">
      <c r="A69">
        <v>1</v>
      </c>
      <c r="B69">
        <v>500</v>
      </c>
      <c r="C69">
        <v>0.95</v>
      </c>
      <c r="D69" s="6">
        <f t="shared" ref="D69:D89" si="22">B69/(1+cDR)^A69</f>
        <v>471.69811320754712</v>
      </c>
      <c r="E69" s="8">
        <f>C69/(1+oDR)^A69</f>
        <v>0.89622641509433953</v>
      </c>
      <c r="F69">
        <v>500</v>
      </c>
      <c r="G69">
        <v>0.95</v>
      </c>
      <c r="H69" s="6">
        <f>F69/(1+cDR)^A69</f>
        <v>471.69811320754712</v>
      </c>
      <c r="I69" s="8">
        <f t="shared" ref="I69:I74" si="23">G69/(1+oDR)^A69</f>
        <v>0.89622641509433953</v>
      </c>
    </row>
    <row r="70" spans="1:9" x14ac:dyDescent="0.2">
      <c r="A70">
        <v>2</v>
      </c>
      <c r="B70">
        <v>500</v>
      </c>
      <c r="C70">
        <v>0.95</v>
      </c>
      <c r="D70" s="6">
        <f t="shared" si="22"/>
        <v>444.99822000711993</v>
      </c>
      <c r="E70" s="8">
        <f t="shared" ref="E70:E88" si="24">C70/(1+oDR)^A70</f>
        <v>0.84549661801352782</v>
      </c>
      <c r="F70">
        <v>500</v>
      </c>
      <c r="G70">
        <v>0.95</v>
      </c>
      <c r="H70" s="6">
        <f t="shared" ref="H70:H75" si="25">F70/(1+cDR)^A70</f>
        <v>444.99822000711993</v>
      </c>
      <c r="I70" s="8">
        <f t="shared" si="23"/>
        <v>0.84549661801352782</v>
      </c>
    </row>
    <row r="71" spans="1:9" x14ac:dyDescent="0.2">
      <c r="A71">
        <v>3</v>
      </c>
      <c r="B71">
        <v>500</v>
      </c>
      <c r="C71">
        <v>0.95</v>
      </c>
      <c r="D71" s="6">
        <f t="shared" si="22"/>
        <v>419.8096415161508</v>
      </c>
      <c r="E71" s="8">
        <f t="shared" si="24"/>
        <v>0.79763831888068648</v>
      </c>
      <c r="F71">
        <v>500</v>
      </c>
      <c r="G71">
        <v>0.95</v>
      </c>
      <c r="H71" s="6">
        <f t="shared" si="25"/>
        <v>419.8096415161508</v>
      </c>
      <c r="I71" s="8">
        <f t="shared" si="23"/>
        <v>0.79763831888068648</v>
      </c>
    </row>
    <row r="72" spans="1:9" x14ac:dyDescent="0.2">
      <c r="A72">
        <v>4</v>
      </c>
      <c r="B72">
        <v>500</v>
      </c>
      <c r="C72">
        <v>0.95</v>
      </c>
      <c r="D72" s="6">
        <f t="shared" si="22"/>
        <v>396.04683161901022</v>
      </c>
      <c r="E72" s="8">
        <f t="shared" si="24"/>
        <v>0.75248898007611931</v>
      </c>
      <c r="F72">
        <v>500</v>
      </c>
      <c r="G72">
        <v>0.95</v>
      </c>
      <c r="H72" s="6">
        <f t="shared" si="25"/>
        <v>396.04683161901022</v>
      </c>
      <c r="I72" s="8">
        <f t="shared" si="23"/>
        <v>0.75248898007611931</v>
      </c>
    </row>
    <row r="73" spans="1:9" x14ac:dyDescent="0.2">
      <c r="A73">
        <v>5</v>
      </c>
      <c r="B73">
        <v>500</v>
      </c>
      <c r="C73">
        <v>0.95</v>
      </c>
      <c r="D73" s="6">
        <f t="shared" si="22"/>
        <v>373.62908643302842</v>
      </c>
      <c r="E73" s="8">
        <f t="shared" si="24"/>
        <v>0.70989526422275406</v>
      </c>
      <c r="F73">
        <v>500</v>
      </c>
      <c r="G73">
        <v>0.95</v>
      </c>
      <c r="H73" s="6">
        <f t="shared" si="25"/>
        <v>373.62908643302842</v>
      </c>
      <c r="I73" s="8">
        <f t="shared" si="23"/>
        <v>0.70989526422275406</v>
      </c>
    </row>
    <row r="74" spans="1:9" x14ac:dyDescent="0.2">
      <c r="A74">
        <v>6</v>
      </c>
      <c r="B74">
        <v>500</v>
      </c>
      <c r="C74">
        <v>0.95</v>
      </c>
      <c r="D74" s="6">
        <f t="shared" si="22"/>
        <v>352.48027021983813</v>
      </c>
      <c r="E74" s="8">
        <f t="shared" si="24"/>
        <v>0.66971251341769245</v>
      </c>
      <c r="F74">
        <v>3000</v>
      </c>
      <c r="G74">
        <v>0.75</v>
      </c>
      <c r="H74" s="6">
        <f t="shared" si="25"/>
        <v>2114.8816213190289</v>
      </c>
      <c r="I74" s="8">
        <f t="shared" si="23"/>
        <v>0.52872040532975717</v>
      </c>
    </row>
    <row r="75" spans="1:9" x14ac:dyDescent="0.2">
      <c r="A75">
        <v>7</v>
      </c>
      <c r="B75">
        <v>500</v>
      </c>
      <c r="C75">
        <v>0.95</v>
      </c>
      <c r="D75" s="6">
        <f t="shared" si="22"/>
        <v>332.52855681116802</v>
      </c>
      <c r="E75" s="8">
        <f t="shared" si="24"/>
        <v>0.63180425794121919</v>
      </c>
      <c r="F75">
        <v>1000</v>
      </c>
      <c r="H75" s="6">
        <f t="shared" si="25"/>
        <v>665.05711362233603</v>
      </c>
    </row>
    <row r="76" spans="1:9" x14ac:dyDescent="0.2">
      <c r="A76">
        <v>8</v>
      </c>
      <c r="B76">
        <v>500</v>
      </c>
      <c r="C76">
        <v>0.95</v>
      </c>
      <c r="D76" s="6">
        <f t="shared" si="22"/>
        <v>313.70618567091327</v>
      </c>
      <c r="E76" s="8">
        <f t="shared" si="24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">
      <c r="A77">
        <v>9</v>
      </c>
      <c r="B77">
        <v>500</v>
      </c>
      <c r="C77">
        <v>0.95</v>
      </c>
      <c r="D77" s="6">
        <f t="shared" si="22"/>
        <v>295.94923176501248</v>
      </c>
      <c r="E77" s="8">
        <f t="shared" si="24"/>
        <v>0.5623035403535237</v>
      </c>
    </row>
    <row r="78" spans="1:9" x14ac:dyDescent="0.2">
      <c r="A78">
        <v>10</v>
      </c>
      <c r="B78">
        <v>500</v>
      </c>
      <c r="C78">
        <v>0.95</v>
      </c>
      <c r="D78" s="6">
        <f t="shared" si="22"/>
        <v>279.19738845755893</v>
      </c>
      <c r="E78" s="8">
        <f t="shared" si="24"/>
        <v>0.53047503806936191</v>
      </c>
    </row>
    <row r="79" spans="1:9" x14ac:dyDescent="0.2">
      <c r="A79">
        <v>11</v>
      </c>
      <c r="B79">
        <v>500</v>
      </c>
      <c r="C79">
        <v>0.95</v>
      </c>
      <c r="D79" s="6">
        <f t="shared" si="22"/>
        <v>263.39376269581027</v>
      </c>
      <c r="E79" s="8">
        <f t="shared" si="24"/>
        <v>0.5004481491220395</v>
      </c>
    </row>
    <row r="80" spans="1:9" x14ac:dyDescent="0.2">
      <c r="A80">
        <v>12</v>
      </c>
      <c r="B80">
        <v>500</v>
      </c>
      <c r="C80">
        <v>0.95</v>
      </c>
      <c r="D80" s="6">
        <f t="shared" si="22"/>
        <v>248.48468178850024</v>
      </c>
      <c r="E80" s="8">
        <f t="shared" si="24"/>
        <v>0.47212089539815044</v>
      </c>
    </row>
    <row r="81" spans="1:5" x14ac:dyDescent="0.2">
      <c r="A81">
        <v>13</v>
      </c>
      <c r="B81">
        <v>500</v>
      </c>
      <c r="C81">
        <v>0.95</v>
      </c>
      <c r="D81" s="6">
        <f t="shared" si="22"/>
        <v>234.41951112122663</v>
      </c>
      <c r="E81" s="8">
        <f t="shared" si="24"/>
        <v>0.44539707113033056</v>
      </c>
    </row>
    <row r="82" spans="1:5" x14ac:dyDescent="0.2">
      <c r="A82">
        <v>14</v>
      </c>
      <c r="B82">
        <v>500</v>
      </c>
      <c r="C82">
        <v>0.95</v>
      </c>
      <c r="D82" s="6">
        <f t="shared" si="22"/>
        <v>221.15048218983645</v>
      </c>
      <c r="E82" s="8">
        <f t="shared" si="24"/>
        <v>0.42018591616068923</v>
      </c>
    </row>
    <row r="83" spans="1:5" x14ac:dyDescent="0.2">
      <c r="A83">
        <v>15</v>
      </c>
      <c r="B83">
        <v>500</v>
      </c>
      <c r="C83">
        <v>0.75</v>
      </c>
      <c r="D83" s="6">
        <f t="shared" si="22"/>
        <v>208.63253036777019</v>
      </c>
      <c r="E83" s="8">
        <f t="shared" si="24"/>
        <v>0.31294879555165528</v>
      </c>
    </row>
    <row r="84" spans="1:5" x14ac:dyDescent="0.2">
      <c r="A84">
        <v>16</v>
      </c>
      <c r="B84">
        <v>3000</v>
      </c>
      <c r="C84">
        <v>0.75</v>
      </c>
      <c r="D84" s="6">
        <f t="shared" si="22"/>
        <v>1180.938851138322</v>
      </c>
      <c r="E84" s="8">
        <f t="shared" si="24"/>
        <v>0.29523471278458052</v>
      </c>
    </row>
    <row r="85" spans="1:5" x14ac:dyDescent="0.2">
      <c r="A85">
        <v>17</v>
      </c>
      <c r="B85">
        <v>3000</v>
      </c>
      <c r="C85">
        <v>0.75</v>
      </c>
      <c r="D85" s="6">
        <f t="shared" si="22"/>
        <v>1114.0932557908698</v>
      </c>
      <c r="E85" s="8">
        <f t="shared" si="24"/>
        <v>0.27852331394771745</v>
      </c>
    </row>
    <row r="86" spans="1:5" x14ac:dyDescent="0.2">
      <c r="A86">
        <v>18</v>
      </c>
      <c r="B86">
        <v>3000</v>
      </c>
      <c r="C86">
        <v>0.75</v>
      </c>
      <c r="D86" s="6">
        <f t="shared" si="22"/>
        <v>1051.031373387613</v>
      </c>
      <c r="E86" s="8">
        <f t="shared" si="24"/>
        <v>0.26275784334690322</v>
      </c>
    </row>
    <row r="87" spans="1:5" x14ac:dyDescent="0.2">
      <c r="A87">
        <v>19</v>
      </c>
      <c r="B87">
        <v>3000</v>
      </c>
      <c r="C87">
        <v>0.75</v>
      </c>
      <c r="D87" s="6">
        <f t="shared" si="22"/>
        <v>991.53903149774794</v>
      </c>
      <c r="E87" s="8">
        <f t="shared" si="24"/>
        <v>0.24788475787443701</v>
      </c>
    </row>
    <row r="88" spans="1:5" x14ac:dyDescent="0.2">
      <c r="A88">
        <v>20</v>
      </c>
      <c r="B88">
        <v>3000</v>
      </c>
      <c r="C88">
        <v>0.75</v>
      </c>
      <c r="D88" s="6">
        <f t="shared" si="22"/>
        <v>935.4141806582528</v>
      </c>
      <c r="E88" s="8">
        <f t="shared" si="24"/>
        <v>0.23385354516456322</v>
      </c>
    </row>
    <row r="89" spans="1:5" x14ac:dyDescent="0.2">
      <c r="A89">
        <v>21</v>
      </c>
      <c r="B89">
        <v>1000</v>
      </c>
      <c r="D89" s="6">
        <f t="shared" si="22"/>
        <v>294.15540272272096</v>
      </c>
    </row>
    <row r="90" spans="1:5" x14ac:dyDescent="0.2">
      <c r="D90" s="6">
        <f>SUM(D69:D89)</f>
        <v>10423.296589066018</v>
      </c>
      <c r="E90" s="8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>
      <selection activeCell="G38" sqref="G38"/>
    </sheetView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83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85</v>
      </c>
      <c r="E3" s="20" t="s">
        <v>63</v>
      </c>
      <c r="F3" s="20" t="s">
        <v>65</v>
      </c>
      <c r="G3" s="20" t="s">
        <v>67</v>
      </c>
      <c r="H3" s="20" t="s">
        <v>68</v>
      </c>
      <c r="I3" s="20" t="s">
        <v>69</v>
      </c>
      <c r="J3" s="20" t="s">
        <v>70</v>
      </c>
      <c r="K3" s="20" t="s">
        <v>71</v>
      </c>
      <c r="L3" s="20" t="s">
        <v>72</v>
      </c>
      <c r="M3" s="20" t="s">
        <v>73</v>
      </c>
      <c r="N3" s="20" t="s">
        <v>74</v>
      </c>
      <c r="O3" s="20" t="s">
        <v>75</v>
      </c>
      <c r="P3" s="20" t="s">
        <v>76</v>
      </c>
      <c r="Q3" s="20" t="s">
        <v>77</v>
      </c>
      <c r="R3" s="20" t="s">
        <v>78</v>
      </c>
      <c r="S3" s="20" t="s">
        <v>79</v>
      </c>
      <c r="T3" s="20" t="s">
        <v>80</v>
      </c>
      <c r="U3" s="20" t="s">
        <v>81</v>
      </c>
      <c r="V3" s="20" t="s">
        <v>82</v>
      </c>
      <c r="W3" s="20" t="s">
        <v>92</v>
      </c>
      <c r="X3" s="20" t="s">
        <v>93</v>
      </c>
    </row>
    <row r="4" spans="2:24" ht="67.5" hidden="1" outlineLevel="1" x14ac:dyDescent="0.2">
      <c r="B4" s="16"/>
      <c r="C4" s="16"/>
      <c r="D4" s="11"/>
      <c r="E4" s="23" t="s">
        <v>64</v>
      </c>
      <c r="F4" s="23" t="s">
        <v>66</v>
      </c>
      <c r="G4" s="23" t="s">
        <v>64</v>
      </c>
      <c r="H4" s="23" t="s">
        <v>66</v>
      </c>
      <c r="I4" s="23" t="s">
        <v>64</v>
      </c>
      <c r="J4" s="23" t="s">
        <v>64</v>
      </c>
      <c r="K4" s="23" t="s">
        <v>66</v>
      </c>
      <c r="L4" s="23" t="s">
        <v>66</v>
      </c>
      <c r="M4" s="23" t="s">
        <v>66</v>
      </c>
      <c r="N4" s="23" t="s">
        <v>66</v>
      </c>
      <c r="O4" s="23" t="s">
        <v>66</v>
      </c>
      <c r="P4" s="23" t="s">
        <v>66</v>
      </c>
      <c r="Q4" s="23" t="s">
        <v>66</v>
      </c>
      <c r="R4" s="23" t="s">
        <v>66</v>
      </c>
      <c r="S4" s="23" t="s">
        <v>64</v>
      </c>
      <c r="T4" s="23" t="s">
        <v>66</v>
      </c>
      <c r="U4" s="23" t="s">
        <v>66</v>
      </c>
      <c r="V4" s="23" t="s">
        <v>66</v>
      </c>
      <c r="W4" s="23" t="s">
        <v>66</v>
      </c>
      <c r="X4" s="23" t="s">
        <v>66</v>
      </c>
    </row>
    <row r="5" spans="2:24" x14ac:dyDescent="0.2">
      <c r="B5" s="17" t="s">
        <v>84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86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90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91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55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87</v>
      </c>
    </row>
    <row r="20" spans="2:24" x14ac:dyDescent="0.2">
      <c r="B20" t="s">
        <v>88</v>
      </c>
    </row>
    <row r="21" spans="2:24" x14ac:dyDescent="0.2">
      <c r="B21" t="s">
        <v>89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Introduction</vt:lpstr>
      <vt:lpstr>Parameters and Analysis</vt:lpstr>
      <vt:lpstr>Markov Model</vt:lpstr>
      <vt:lpstr>Scenario Summary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oDR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 Green</cp:lastModifiedBy>
  <cp:lastPrinted>1999-09-02T12:09:59Z</cp:lastPrinted>
  <dcterms:created xsi:type="dcterms:W3CDTF">1997-05-02T12:23:35Z</dcterms:created>
  <dcterms:modified xsi:type="dcterms:W3CDTF">2021-10-28T13:29:40Z</dcterms:modified>
</cp:coreProperties>
</file>